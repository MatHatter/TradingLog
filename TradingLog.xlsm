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15" windowWidth="20730" windowHeight="11760" activeTab="1"/>
  </bookViews>
  <sheets>
    <sheet name="TradingLog" sheetId="1" r:id="rId1"/>
    <sheet name="Calculations" sheetId="2" r:id="rId2"/>
    <sheet name="Reference" sheetId="3" r:id="rId3"/>
  </sheets>
  <calcPr calcId="144525"/>
</workbook>
</file>

<file path=xl/calcChain.xml><?xml version="1.0" encoding="utf-8"?>
<calcChain xmlns="http://schemas.openxmlformats.org/spreadsheetml/2006/main">
  <c r="U1" i="1" l="1"/>
</calcChain>
</file>

<file path=xl/sharedStrings.xml><?xml version="1.0" encoding="utf-8"?>
<sst xmlns="http://schemas.openxmlformats.org/spreadsheetml/2006/main" count="204" uniqueCount="112">
  <si>
    <t>Time</t>
  </si>
  <si>
    <t>Symbol</t>
  </si>
  <si>
    <t>Long/Short</t>
  </si>
  <si>
    <t>Entry</t>
  </si>
  <si>
    <t>Exit</t>
  </si>
  <si>
    <t>Stop</t>
  </si>
  <si>
    <t>Notes</t>
  </si>
  <si>
    <t>%PortfolioRisked</t>
  </si>
  <si>
    <t>Profit/Loss</t>
  </si>
  <si>
    <t>Shares (+)</t>
  </si>
  <si>
    <t>(Exit - Entry) / Entry</t>
  </si>
  <si>
    <t>Profit/Loss (Long)</t>
  </si>
  <si>
    <t>Profit/Loss (Short)</t>
  </si>
  <si>
    <t>Reward/Risk (Long)</t>
  </si>
  <si>
    <t>Reward/Risk (Short)</t>
  </si>
  <si>
    <t>Reward/RiskStop (Long)</t>
  </si>
  <si>
    <t>Reward/RiskStop (Short)</t>
  </si>
  <si>
    <t>(Exit - Entry) x Shares</t>
  </si>
  <si>
    <t>(Entry - Exit) x Shares</t>
  </si>
  <si>
    <t>((Exit - Entry) x Shares) / Net Portfolio Value</t>
  </si>
  <si>
    <t>((Entry - Exit) x Shares) / Net Portfolio Value</t>
  </si>
  <si>
    <t>(Entry - Exit) / Entry</t>
  </si>
  <si>
    <t>Reward/Risk</t>
  </si>
  <si>
    <t>Reward/RiskStop</t>
  </si>
  <si>
    <t>Net Portfolio Value</t>
  </si>
  <si>
    <t>HH:MI:SS (24hr)</t>
  </si>
  <si>
    <t>%Profit/Loss to Portfolio (Long)</t>
  </si>
  <si>
    <t>%Profit/Loss to Portfolio (Short)</t>
  </si>
  <si>
    <t>%Profit/Loss to Portfolio</t>
  </si>
  <si>
    <t>/XW</t>
  </si>
  <si>
    <t>/6E</t>
  </si>
  <si>
    <t>Tick Size</t>
  </si>
  <si>
    <t>Tick Value</t>
  </si>
  <si>
    <t>Value/Tick</t>
  </si>
  <si>
    <t>Initial Margin</t>
  </si>
  <si>
    <t>/6A</t>
  </si>
  <si>
    <t>/6B</t>
  </si>
  <si>
    <t>/6C</t>
  </si>
  <si>
    <t>/6J</t>
  </si>
  <si>
    <t>/6M</t>
  </si>
  <si>
    <t>/6N</t>
  </si>
  <si>
    <t>/6S</t>
  </si>
  <si>
    <t>/BZ</t>
  </si>
  <si>
    <t>/CC</t>
  </si>
  <si>
    <t>/CL</t>
  </si>
  <si>
    <t>/CT</t>
  </si>
  <si>
    <t>/DX</t>
  </si>
  <si>
    <t>/E7</t>
  </si>
  <si>
    <t>/EMD</t>
  </si>
  <si>
    <t>/ES</t>
  </si>
  <si>
    <t>/GC</t>
  </si>
  <si>
    <t>/GE</t>
  </si>
  <si>
    <t>/GF</t>
  </si>
  <si>
    <t>/GLB</t>
  </si>
  <si>
    <t>/HE</t>
  </si>
  <si>
    <t>/HG</t>
  </si>
  <si>
    <t>/HO</t>
  </si>
  <si>
    <t>/J7</t>
  </si>
  <si>
    <t>/KC</t>
  </si>
  <si>
    <t>/KE</t>
  </si>
  <si>
    <t>/LBS</t>
  </si>
  <si>
    <t>/LE</t>
  </si>
  <si>
    <t>/M6A</t>
  </si>
  <si>
    <t>/M6B</t>
  </si>
  <si>
    <t>/M6E</t>
  </si>
  <si>
    <t>/NG</t>
  </si>
  <si>
    <t>/NKD</t>
  </si>
  <si>
    <t>/NQ</t>
  </si>
  <si>
    <t>/OJ</t>
  </si>
  <si>
    <t>/PA</t>
  </si>
  <si>
    <t>/PL</t>
  </si>
  <si>
    <t>/QG</t>
  </si>
  <si>
    <t>/QM</t>
  </si>
  <si>
    <t>/RB</t>
  </si>
  <si>
    <t>/SB</t>
  </si>
  <si>
    <t>/SI</t>
  </si>
  <si>
    <t>/TF</t>
  </si>
  <si>
    <t>/VX</t>
  </si>
  <si>
    <t>/XC</t>
  </si>
  <si>
    <t>/XK</t>
  </si>
  <si>
    <t>/YG</t>
  </si>
  <si>
    <t>/YI</t>
  </si>
  <si>
    <t>/YM</t>
  </si>
  <si>
    <t>/ZC</t>
  </si>
  <si>
    <t>/ZL</t>
  </si>
  <si>
    <t>/ZM</t>
  </si>
  <si>
    <t>/ZO</t>
  </si>
  <si>
    <t>/ZQ</t>
  </si>
  <si>
    <t>/ZS</t>
  </si>
  <si>
    <t>/ZW</t>
  </si>
  <si>
    <t>CL</t>
  </si>
  <si>
    <t>Tradeable Futures</t>
  </si>
  <si>
    <t>Long</t>
  </si>
  <si>
    <t>"It is better to be conservative with risk, than aggressive with reward."</t>
  </si>
  <si>
    <t>Metric</t>
  </si>
  <si>
    <t>Reward/RiskStop with Stop Greater Than or Equal to Entry (Long)</t>
  </si>
  <si>
    <t>Reward/RiskStop with Stop Greater Than or Equal to Entry (Short)</t>
  </si>
  <si>
    <t>Calculation</t>
  </si>
  <si>
    <t>(Exit - Entry) / (Entry - Stop)</t>
  </si>
  <si>
    <t>(Entry - Exit) / (Stop - Entry)</t>
  </si>
  <si>
    <t>(Exit - Stop)</t>
  </si>
  <si>
    <t>(Stop - Exit)</t>
  </si>
  <si>
    <t>Directions</t>
  </si>
  <si>
    <t>&gt;= Value/Tick</t>
  </si>
  <si>
    <t>Match</t>
  </si>
  <si>
    <t>Click top left button 'Click Here First' to start. Then enter trade into Trading Log form. _x000D_
The Trading Log form can be accessed by clicking the Trading Log button. All fields should be filled, however _x000D_
fields Stop and Notes do not have to be filled._x000D_
_x000D_
Other notes: Futures entries without the / symbol could be mistaken for a stock. To prevent this,_x000D_
please adhere to the ' / ' convention for futures. The 'Tradable Futures' and '&gt;= Value/Tick' column are listing_x000D_
futures metrics and do not apply to any other financial intrument. (Please note Shares (+) is the same as Contracts (+) for_x000D_
derivatives.</t>
  </si>
  <si>
    <t>This log is not responsible for any investment decisions or advice.</t>
  </si>
  <si>
    <t xml:space="preserve">(Entry x Shares) / Net Portfolio Value </t>
  </si>
  <si>
    <t>Futures that have an Initial Margin &lt;= Net Portfolio Value</t>
  </si>
  <si>
    <t>Futures that have a greater or equal Tick Value/ Tick Size</t>
  </si>
  <si>
    <t>Futures listed here are both listed in Tradeable Futures or &gt;= Value/Tick.</t>
  </si>
  <si>
    <t>Disclosure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</si>
</sst>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h:mm:ss;@"/>
    <numFmt numFmtId="165" formatCode="0.0000"/>
    <numFmt numFmtId="166" formatCode="&quot;$&quot;#,##0.00"/>
    <numFmt numFmtId="167" formatCode="0.0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120000"/>
      <name val="Calibri"/>
      <family val="2"/>
      <scheme val="minor"/>
    </font>
    <font>
      <sz val="11"/>
      <color indexed="25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0" fillId="0" borderId="0" xfId="0" applyBorder="1"/>
    <xf numFmtId="1" fontId="0" fillId="0" borderId="4" xfId="0" applyNumberFormat="1" applyBorder="1"/>
    <xf numFmtId="164" fontId="0" fillId="0" borderId="4" xfId="0" applyNumberFormat="1" applyBorder="1"/>
    <xf numFmtId="0" fontId="1" fillId="0" borderId="2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0" xfId="0" applyFont="1"/>
    <xf numFmtId="165" fontId="0" fillId="0" borderId="4" xfId="0" applyNumberFormat="1" applyBorder="1"/>
    <xf numFmtId="166" fontId="0" fillId="0" borderId="4" xfId="0" applyNumberFormat="1" applyBorder="1"/>
    <xf numFmtId="10" fontId="0" fillId="0" borderId="4" xfId="0" applyNumberFormat="1" applyBorder="1"/>
    <xf numFmtId="1" fontId="0" fillId="0" borderId="0" xfId="0" applyNumberFormat="1" applyBorder="1"/>
    <xf numFmtId="165" fontId="0" fillId="0" borderId="0" xfId="0" applyNumberFormat="1" applyBorder="1"/>
    <xf numFmtId="166" fontId="0" fillId="0" borderId="0" xfId="0" applyNumberFormat="1" applyBorder="1"/>
    <xf numFmtId="10" fontId="0" fillId="0" borderId="0" xfId="0" applyNumberFormat="1" applyBorder="1"/>
    <xf numFmtId="0" fontId="1" fillId="0" borderId="0" xfId="0" applyFont="1" applyBorder="1" applyAlignment="1">
      <alignment vertical="center"/>
    </xf>
    <xf numFmtId="164" fontId="1" fillId="0" borderId="2" xfId="0" applyNumberFormat="1" applyFont="1" applyBorder="1" applyAlignment="1">
      <alignment horizontal="center" vertical="center"/>
    </xf>
    <xf numFmtId="1" fontId="1" fillId="0" borderId="2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  <xf numFmtId="10" fontId="1" fillId="0" borderId="2" xfId="0" applyNumberFormat="1" applyFont="1" applyBorder="1" applyAlignment="1">
      <alignment horizontal="center" vertical="center"/>
    </xf>
    <xf numFmtId="2" fontId="2" fillId="0" borderId="0" xfId="0" applyNumberFormat="1" applyFont="1" applyBorder="1"/>
    <xf numFmtId="167" fontId="0" fillId="0" borderId="4" xfId="0" applyNumberFormat="1" applyBorder="1"/>
    <xf numFmtId="165" fontId="3" fillId="0" borderId="4" xfId="0" applyNumberFormat="1" applyFont="1" applyBorder="1"/>
    <xf numFmtId="165" fontId="4" fillId="0" borderId="4" xfId="0" applyNumberFormat="1" applyFont="1" applyBorder="1"/>
    <xf numFmtId="0" fontId="5" fillId="0" borderId="0" xfId="0" applyFont="1"/>
    <xf numFmtId="0" fontId="0" fillId="0" borderId="0" xfId="0" applyAlignment="1">
      <alignment horizontal="center"/>
    </xf>
    <xf numFmtId="164" fontId="0" fillId="0" borderId="0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6" fillId="0" borderId="0" xfId="0" applyFont="1" applyAlignment="1">
      <alignment horizontal="center" wrapText="1"/>
    </xf>
    <xf numFmtId="0" fontId="0" fillId="0" borderId="0" xfId="0" applyFont="1" applyAlignment="1">
      <alignment horizontal="lef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0</xdr:row>
          <xdr:rowOff>0</xdr:rowOff>
        </xdr:from>
        <xdr:to>
          <xdr:col>5</xdr:col>
          <xdr:colOff>495300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590550</xdr:colOff>
          <xdr:row>0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0</xdr:row>
          <xdr:rowOff>0</xdr:rowOff>
        </xdr:from>
        <xdr:to>
          <xdr:col>13</xdr:col>
          <xdr:colOff>104775</xdr:colOff>
          <xdr:row>2</xdr:row>
          <xdr:rowOff>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47625</xdr:colOff>
          <xdr:row>2</xdr:row>
          <xdr:rowOff>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500"/>
  <sheetViews>
    <sheetView topLeftCell="B1" workbookViewId="0">
      <selection activeCell="Q3" sqref="Q3"/>
    </sheetView>
  </sheetViews>
  <sheetFormatPr defaultRowHeight="15" x14ac:dyDescent="0.25"/>
  <cols>
    <col min="1" max="1" width="13.375" hidden="1" customWidth="1"/>
    <col min="2" max="2" width="13.375" customWidth="1"/>
    <col min="3" max="3" width="6.625" customWidth="1"/>
    <col min="4" max="4" width="9.375" customWidth="1"/>
    <col min="5" max="5" width="8.5" customWidth="1"/>
    <col min="6" max="8" width="7.375" customWidth="1"/>
    <col min="9" max="9" width="9.25" customWidth="1"/>
    <col min="10" max="10" width="20.125" customWidth="1"/>
    <col min="11" max="11" width="10.625" customWidth="1"/>
    <col min="12" max="12" width="14.25" customWidth="1"/>
    <col min="13" max="13" width="14.375" customWidth="1"/>
    <col min="14" max="14" width="16" bestFit="1" customWidth="1"/>
    <col min="15" max="15" width="5.5" customWidth="1"/>
  </cols>
  <sheetData>
    <row r="1" spans="1:22" x14ac:dyDescent="0.25">
      <c r="A1" s="9" t="s">
        <v>0</v>
      </c>
      <c r="B1" s="9"/>
      <c r="C1" s="9"/>
      <c r="D1" s="9"/>
      <c r="E1" s="9"/>
      <c r="F1" s="9"/>
      <c r="G1" s="5"/>
      <c r="H1" s="9"/>
      <c r="I1" s="9"/>
      <c r="J1" s="9" t="s">
        <v>93</v>
      </c>
      <c r="K1" s="9"/>
      <c r="L1" s="9"/>
      <c r="M1" s="9"/>
      <c r="N1" s="9"/>
      <c r="O1" s="18"/>
      <c r="P1" s="24">
        <v>500</v>
      </c>
      <c r="Q1" s="1"/>
      <c r="U1" s="10">
        <f>VLOOKUP(U2, Reference!$A$2:$F$58, 4, FALSE)</f>
        <v>1000</v>
      </c>
      <c r="V1" s="28"/>
    </row>
    <row r="2" spans="1:22" x14ac:dyDescent="0.25">
      <c r="A2" s="29"/>
      <c r="B2" s="30"/>
      <c r="C2" s="5"/>
      <c r="D2" s="5"/>
      <c r="E2" s="14"/>
      <c r="F2" s="15"/>
      <c r="G2" s="9"/>
      <c r="H2" s="15"/>
      <c r="I2" s="16"/>
      <c r="J2" s="17"/>
      <c r="K2" s="15"/>
      <c r="L2" s="15"/>
      <c r="M2" s="17"/>
      <c r="N2" s="16"/>
      <c r="O2" s="5"/>
      <c r="P2" s="10">
        <v>2000</v>
      </c>
      <c r="Q2" s="1"/>
      <c r="U2" s="10" t="s">
        <v>44</v>
      </c>
      <c r="V2" s="10"/>
    </row>
    <row r="3" spans="1:22" x14ac:dyDescent="0.25">
      <c r="B3" s="19" t="s">
        <v>0</v>
      </c>
      <c r="C3" s="8" t="s">
        <v>1</v>
      </c>
      <c r="D3" s="8" t="s">
        <v>2</v>
      </c>
      <c r="E3" s="20" t="s">
        <v>9</v>
      </c>
      <c r="F3" s="21" t="s">
        <v>3</v>
      </c>
      <c r="G3" s="21" t="s">
        <v>4</v>
      </c>
      <c r="H3" s="21" t="s">
        <v>5</v>
      </c>
      <c r="I3" s="22" t="s">
        <v>8</v>
      </c>
      <c r="J3" s="23" t="s">
        <v>28</v>
      </c>
      <c r="K3" s="21" t="s">
        <v>22</v>
      </c>
      <c r="L3" s="21" t="s">
        <v>23</v>
      </c>
      <c r="M3" s="23" t="s">
        <v>7</v>
      </c>
      <c r="N3" s="22" t="s">
        <v>24</v>
      </c>
      <c r="O3" s="2" t="s">
        <v>6</v>
      </c>
      <c r="Q3" s="1" t="s">
        <v>91</v>
      </c>
      <c r="S3" s="1" t="s">
        <v>103</v>
      </c>
      <c r="U3" s="1" t="s">
        <v>104</v>
      </c>
    </row>
    <row r="4" spans="1:22" x14ac:dyDescent="0.25">
      <c r="B4" s="7" t="s">
        <v>25</v>
      </c>
      <c r="C4" s="4" t="s">
        <v>90</v>
      </c>
      <c r="D4" s="4" t="s">
        <v>92</v>
      </c>
      <c r="E4" s="6">
        <v>1</v>
      </c>
      <c r="F4" s="11">
        <v>12</v>
      </c>
      <c r="G4" s="11">
        <v>12.5</v>
      </c>
      <c r="H4" s="11">
        <v>11</v>
      </c>
      <c r="I4" s="12">
        <v>500</v>
      </c>
      <c r="J4" s="25">
        <v>2.5000000000000001E-4</v>
      </c>
      <c r="K4" s="11">
        <v>4.1666666666666664E-2</v>
      </c>
      <c r="L4" s="11">
        <v>0.5</v>
      </c>
      <c r="M4" s="25">
        <v>6.0000000000000001E-3</v>
      </c>
      <c r="N4" s="12">
        <v>2500</v>
      </c>
      <c r="O4" s="3"/>
      <c r="Q4" t="s">
        <v>35</v>
      </c>
      <c r="S4" t="s">
        <v>35</v>
      </c>
      <c r="U4" t="s">
        <v>35</v>
      </c>
    </row>
    <row r="5" spans="1:22" x14ac:dyDescent="0.25">
      <c r="B5" s="7"/>
      <c r="C5" s="4"/>
      <c r="D5" s="4"/>
      <c r="E5" s="6"/>
      <c r="F5" s="11"/>
      <c r="G5" s="11"/>
      <c r="H5" s="11"/>
      <c r="I5" s="12"/>
      <c r="J5" s="13"/>
      <c r="K5" s="11"/>
      <c r="L5" s="11"/>
      <c r="M5" s="13"/>
      <c r="N5" s="12"/>
      <c r="O5" s="3"/>
      <c r="Q5" t="s">
        <v>37</v>
      </c>
      <c r="S5" t="s">
        <v>36</v>
      </c>
      <c r="U5" t="s">
        <v>37</v>
      </c>
    </row>
    <row r="6" spans="1:22" x14ac:dyDescent="0.25">
      <c r="B6" s="7"/>
      <c r="C6" s="4"/>
      <c r="D6" s="4"/>
      <c r="E6" s="6"/>
      <c r="F6" s="11"/>
      <c r="G6" s="11"/>
      <c r="H6" s="11"/>
      <c r="I6" s="12"/>
      <c r="J6" s="25"/>
      <c r="K6" s="11"/>
      <c r="L6" s="26"/>
      <c r="M6" s="25"/>
      <c r="N6" s="12"/>
      <c r="O6" s="3"/>
      <c r="Q6" t="s">
        <v>39</v>
      </c>
      <c r="S6" t="s">
        <v>37</v>
      </c>
      <c r="U6" t="s">
        <v>39</v>
      </c>
    </row>
    <row r="7" spans="1:22" x14ac:dyDescent="0.25">
      <c r="B7" s="7"/>
      <c r="C7" s="4"/>
      <c r="D7" s="4"/>
      <c r="E7" s="6"/>
      <c r="F7" s="11"/>
      <c r="G7" s="11"/>
      <c r="H7" s="11"/>
      <c r="I7" s="12"/>
      <c r="J7" s="25"/>
      <c r="K7" s="11"/>
      <c r="L7" s="26"/>
      <c r="M7" s="25"/>
      <c r="N7" s="12"/>
      <c r="O7" s="3"/>
      <c r="Q7" t="s">
        <v>40</v>
      </c>
      <c r="S7" t="s">
        <v>30</v>
      </c>
      <c r="U7" t="s">
        <v>40</v>
      </c>
    </row>
    <row r="8" spans="1:22" x14ac:dyDescent="0.25">
      <c r="B8" s="7"/>
      <c r="C8" s="4"/>
      <c r="D8" s="4"/>
      <c r="E8" s="6"/>
      <c r="F8" s="11"/>
      <c r="G8" s="11"/>
      <c r="H8" s="11"/>
      <c r="I8" s="12"/>
      <c r="J8" s="25"/>
      <c r="K8" s="11"/>
      <c r="L8" s="27"/>
      <c r="M8" s="25"/>
      <c r="N8" s="12"/>
      <c r="O8" s="3"/>
      <c r="Q8" t="s">
        <v>43</v>
      </c>
      <c r="S8" t="s">
        <v>38</v>
      </c>
      <c r="U8" t="s">
        <v>46</v>
      </c>
    </row>
    <row r="9" spans="1:22" x14ac:dyDescent="0.25">
      <c r="B9" s="7"/>
      <c r="C9" s="4"/>
      <c r="D9" s="4"/>
      <c r="E9" s="6"/>
      <c r="F9" s="11"/>
      <c r="G9" s="11"/>
      <c r="H9" s="11"/>
      <c r="I9" s="4"/>
      <c r="J9" s="4"/>
      <c r="K9" s="4"/>
      <c r="L9" s="4"/>
      <c r="M9" s="4"/>
      <c r="N9" s="4"/>
      <c r="O9" s="3"/>
      <c r="Q9" t="s">
        <v>45</v>
      </c>
      <c r="S9" t="s">
        <v>39</v>
      </c>
      <c r="U9" t="s">
        <v>47</v>
      </c>
    </row>
    <row r="10" spans="1:22" x14ac:dyDescent="0.25">
      <c r="B10" s="7"/>
      <c r="C10" s="4"/>
      <c r="D10" s="4"/>
      <c r="E10" s="6"/>
      <c r="F10" s="11"/>
      <c r="G10" s="11"/>
      <c r="H10" s="11"/>
      <c r="I10" s="12"/>
      <c r="J10" s="25"/>
      <c r="K10" s="11"/>
      <c r="L10" s="11"/>
      <c r="M10" s="25"/>
      <c r="N10" s="12"/>
      <c r="O10" s="3"/>
      <c r="Q10" t="s">
        <v>46</v>
      </c>
      <c r="S10" t="s">
        <v>40</v>
      </c>
      <c r="U10" t="s">
        <v>46</v>
      </c>
    </row>
    <row r="11" spans="1:22" x14ac:dyDescent="0.25"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3"/>
      <c r="Q11" t="s">
        <v>47</v>
      </c>
      <c r="S11" t="s">
        <v>41</v>
      </c>
      <c r="U11" t="s">
        <v>47</v>
      </c>
    </row>
    <row r="12" spans="1:22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3"/>
      <c r="Q12" t="s">
        <v>51</v>
      </c>
      <c r="S12" t="s">
        <v>42</v>
      </c>
      <c r="U12" t="s">
        <v>51</v>
      </c>
    </row>
    <row r="13" spans="1:22" x14ac:dyDescent="0.25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3"/>
      <c r="Q13" t="s">
        <v>53</v>
      </c>
      <c r="S13" t="s">
        <v>44</v>
      </c>
      <c r="U13" t="s">
        <v>53</v>
      </c>
    </row>
    <row r="14" spans="1:22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3"/>
      <c r="Q14" t="s">
        <v>54</v>
      </c>
      <c r="S14" t="s">
        <v>46</v>
      </c>
      <c r="U14" t="s">
        <v>63</v>
      </c>
    </row>
    <row r="15" spans="1:22" x14ac:dyDescent="0.25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3"/>
      <c r="Q15" t="s">
        <v>57</v>
      </c>
      <c r="S15" t="s">
        <v>47</v>
      </c>
      <c r="U15" t="s">
        <v>57</v>
      </c>
    </row>
    <row r="16" spans="1:22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3"/>
      <c r="Q16" t="s">
        <v>59</v>
      </c>
      <c r="S16" t="s">
        <v>51</v>
      </c>
      <c r="U16" t="s">
        <v>71</v>
      </c>
    </row>
    <row r="17" spans="2:2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3"/>
      <c r="Q17" t="s">
        <v>60</v>
      </c>
      <c r="S17" t="s">
        <v>53</v>
      </c>
      <c r="U17" t="s">
        <v>74</v>
      </c>
    </row>
    <row r="18" spans="2:2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3"/>
      <c r="Q18" t="s">
        <v>61</v>
      </c>
      <c r="S18" t="s">
        <v>55</v>
      </c>
      <c r="U18" t="s">
        <v>81</v>
      </c>
    </row>
    <row r="19" spans="2:2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3"/>
      <c r="Q19" t="s">
        <v>62</v>
      </c>
      <c r="S19" t="s">
        <v>56</v>
      </c>
      <c r="U19" t="s">
        <v>62</v>
      </c>
    </row>
    <row r="20" spans="2:2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3"/>
      <c r="Q20" t="s">
        <v>63</v>
      </c>
      <c r="S20" t="s">
        <v>57</v>
      </c>
      <c r="U20" t="s">
        <v>63</v>
      </c>
    </row>
    <row r="21" spans="2:2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3"/>
      <c r="Q21" t="s">
        <v>64</v>
      </c>
      <c r="S21" t="s">
        <v>62</v>
      </c>
      <c r="U21" t="s">
        <v>64</v>
      </c>
    </row>
    <row r="22" spans="2:2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3"/>
      <c r="Q22" t="s">
        <v>68</v>
      </c>
      <c r="S22" t="s">
        <v>63</v>
      </c>
      <c r="U22" t="s">
        <v>71</v>
      </c>
    </row>
    <row r="23" spans="2:21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3"/>
      <c r="Q23" t="s">
        <v>71</v>
      </c>
      <c r="S23" t="s">
        <v>64</v>
      </c>
      <c r="U23" t="s">
        <v>71</v>
      </c>
    </row>
    <row r="24" spans="2:21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3"/>
      <c r="Q24" t="s">
        <v>72</v>
      </c>
      <c r="S24" t="s">
        <v>65</v>
      </c>
      <c r="U24" t="s">
        <v>81</v>
      </c>
    </row>
    <row r="25" spans="2:21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3"/>
      <c r="Q25" t="s">
        <v>74</v>
      </c>
      <c r="S25" t="s">
        <v>71</v>
      </c>
      <c r="U25" t="s">
        <v>74</v>
      </c>
    </row>
    <row r="26" spans="2:2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3"/>
      <c r="Q26" t="s">
        <v>78</v>
      </c>
      <c r="S26" t="s">
        <v>73</v>
      </c>
      <c r="U26" t="s">
        <v>81</v>
      </c>
    </row>
    <row r="27" spans="2:2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3"/>
      <c r="Q27" t="s">
        <v>79</v>
      </c>
      <c r="S27" t="s">
        <v>74</v>
      </c>
      <c r="U27" t="s">
        <v>87</v>
      </c>
    </row>
    <row r="28" spans="2:21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3"/>
      <c r="Q28" t="s">
        <v>29</v>
      </c>
      <c r="S28" t="s">
        <v>75</v>
      </c>
    </row>
    <row r="29" spans="2:21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3"/>
      <c r="Q29" t="s">
        <v>80</v>
      </c>
      <c r="S29" t="s">
        <v>77</v>
      </c>
    </row>
    <row r="30" spans="2:21" x14ac:dyDescent="0.2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3"/>
      <c r="Q30" t="s">
        <v>81</v>
      </c>
      <c r="S30" t="s">
        <v>81</v>
      </c>
    </row>
    <row r="31" spans="2:21" x14ac:dyDescent="0.2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3"/>
      <c r="Q31" t="s">
        <v>83</v>
      </c>
      <c r="S31" t="s">
        <v>87</v>
      </c>
    </row>
    <row r="32" spans="2:21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3"/>
      <c r="Q32" t="s">
        <v>84</v>
      </c>
    </row>
    <row r="33" spans="2:17" x14ac:dyDescent="0.25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3"/>
      <c r="Q33" t="s">
        <v>85</v>
      </c>
    </row>
    <row r="34" spans="2:17" x14ac:dyDescent="0.25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3"/>
      <c r="Q34" t="s">
        <v>86</v>
      </c>
    </row>
    <row r="35" spans="2:17" x14ac:dyDescent="0.25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3"/>
      <c r="Q35" t="s">
        <v>87</v>
      </c>
    </row>
    <row r="36" spans="2:17" x14ac:dyDescent="0.2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3"/>
      <c r="Q36" t="s">
        <v>89</v>
      </c>
    </row>
    <row r="37" spans="2:17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3"/>
    </row>
    <row r="38" spans="2:17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3"/>
    </row>
    <row r="39" spans="2:17" x14ac:dyDescent="0.25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3"/>
    </row>
    <row r="40" spans="2:17" x14ac:dyDescent="0.25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3"/>
    </row>
    <row r="41" spans="2:17" x14ac:dyDescent="0.25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3"/>
    </row>
    <row r="42" spans="2:17" x14ac:dyDescent="0.25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3"/>
    </row>
    <row r="43" spans="2:17" x14ac:dyDescent="0.25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3"/>
    </row>
    <row r="44" spans="2:17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3"/>
    </row>
    <row r="45" spans="2:17" x14ac:dyDescent="0.25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3"/>
    </row>
    <row r="46" spans="2:17" x14ac:dyDescent="0.25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3"/>
    </row>
    <row r="47" spans="2:17" x14ac:dyDescent="0.25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3"/>
    </row>
    <row r="48" spans="2:17" x14ac:dyDescent="0.25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3"/>
    </row>
    <row r="49" spans="2:15" x14ac:dyDescent="0.25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3"/>
    </row>
    <row r="50" spans="2:15" x14ac:dyDescent="0.2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3"/>
    </row>
    <row r="51" spans="2:15" x14ac:dyDescent="0.2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3"/>
    </row>
    <row r="52" spans="2:15" x14ac:dyDescent="0.25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3"/>
    </row>
    <row r="53" spans="2:15" x14ac:dyDescent="0.25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3"/>
    </row>
    <row r="54" spans="2:15" x14ac:dyDescent="0.25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3"/>
    </row>
    <row r="55" spans="2:15" x14ac:dyDescent="0.25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3"/>
    </row>
    <row r="56" spans="2:15" x14ac:dyDescent="0.25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3"/>
    </row>
    <row r="57" spans="2:15" x14ac:dyDescent="0.25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3"/>
    </row>
    <row r="58" spans="2:15" x14ac:dyDescent="0.25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3"/>
    </row>
    <row r="59" spans="2:15" x14ac:dyDescent="0.25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3"/>
    </row>
    <row r="60" spans="2:15" x14ac:dyDescent="0.25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3"/>
    </row>
    <row r="61" spans="2:15" x14ac:dyDescent="0.25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3"/>
    </row>
    <row r="62" spans="2:15" x14ac:dyDescent="0.25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3"/>
    </row>
    <row r="63" spans="2:15" x14ac:dyDescent="0.25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3"/>
    </row>
    <row r="64" spans="2:15" x14ac:dyDescent="0.25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3"/>
    </row>
    <row r="65" spans="2:15" x14ac:dyDescent="0.25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3"/>
    </row>
    <row r="66" spans="2:15" x14ac:dyDescent="0.25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3"/>
    </row>
    <row r="67" spans="2:15" x14ac:dyDescent="0.25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3"/>
    </row>
    <row r="68" spans="2:15" x14ac:dyDescent="0.25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3"/>
    </row>
    <row r="69" spans="2:15" x14ac:dyDescent="0.25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3"/>
    </row>
    <row r="70" spans="2:15" x14ac:dyDescent="0.25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3"/>
    </row>
    <row r="71" spans="2:15" x14ac:dyDescent="0.25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3"/>
    </row>
    <row r="72" spans="2:15" x14ac:dyDescent="0.25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3"/>
    </row>
    <row r="73" spans="2:15" x14ac:dyDescent="0.25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3"/>
    </row>
    <row r="74" spans="2:15" x14ac:dyDescent="0.25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3"/>
    </row>
    <row r="75" spans="2:15" x14ac:dyDescent="0.2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3"/>
    </row>
    <row r="76" spans="2:15" x14ac:dyDescent="0.2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3"/>
    </row>
    <row r="77" spans="2:15" x14ac:dyDescent="0.25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3"/>
    </row>
    <row r="78" spans="2:15" x14ac:dyDescent="0.2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3"/>
    </row>
    <row r="79" spans="2:15" x14ac:dyDescent="0.2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3"/>
    </row>
    <row r="80" spans="2:15" x14ac:dyDescent="0.2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3"/>
    </row>
    <row r="81" spans="2:15" x14ac:dyDescent="0.2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3"/>
    </row>
    <row r="82" spans="2:15" x14ac:dyDescent="0.2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3"/>
    </row>
    <row r="83" spans="2:15" x14ac:dyDescent="0.2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3"/>
    </row>
    <row r="84" spans="2:15" x14ac:dyDescent="0.2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3"/>
    </row>
    <row r="85" spans="2:15" x14ac:dyDescent="0.2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3"/>
    </row>
    <row r="86" spans="2:15" x14ac:dyDescent="0.2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3"/>
    </row>
    <row r="87" spans="2:15" x14ac:dyDescent="0.2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3"/>
    </row>
    <row r="88" spans="2:15" x14ac:dyDescent="0.2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3"/>
    </row>
    <row r="89" spans="2:15" x14ac:dyDescent="0.2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3"/>
    </row>
    <row r="90" spans="2:15" x14ac:dyDescent="0.2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3"/>
    </row>
    <row r="91" spans="2:15" x14ac:dyDescent="0.2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3"/>
    </row>
    <row r="92" spans="2:15" x14ac:dyDescent="0.2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3"/>
    </row>
    <row r="93" spans="2:15" x14ac:dyDescent="0.2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3"/>
    </row>
    <row r="94" spans="2:15" x14ac:dyDescent="0.2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3"/>
    </row>
    <row r="95" spans="2:15" x14ac:dyDescent="0.2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3"/>
    </row>
    <row r="96" spans="2:15" x14ac:dyDescent="0.2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3"/>
    </row>
    <row r="97" spans="2:15" x14ac:dyDescent="0.2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3"/>
    </row>
    <row r="98" spans="2:15" x14ac:dyDescent="0.2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3"/>
    </row>
    <row r="99" spans="2:15" x14ac:dyDescent="0.2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3"/>
    </row>
    <row r="100" spans="2:15" x14ac:dyDescent="0.2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3"/>
    </row>
    <row r="101" spans="2:15" x14ac:dyDescent="0.2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3"/>
    </row>
    <row r="102" spans="2:15" x14ac:dyDescent="0.2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3"/>
    </row>
    <row r="103" spans="2:15" x14ac:dyDescent="0.2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3"/>
    </row>
    <row r="104" spans="2:15" x14ac:dyDescent="0.2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3"/>
    </row>
    <row r="105" spans="2:15" x14ac:dyDescent="0.2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3"/>
    </row>
    <row r="106" spans="2:15" x14ac:dyDescent="0.2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3"/>
    </row>
    <row r="107" spans="2:15" x14ac:dyDescent="0.2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3"/>
    </row>
    <row r="108" spans="2:15" x14ac:dyDescent="0.2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3"/>
    </row>
    <row r="109" spans="2:15" x14ac:dyDescent="0.2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3"/>
    </row>
    <row r="110" spans="2:15" x14ac:dyDescent="0.2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3"/>
    </row>
    <row r="111" spans="2:15" x14ac:dyDescent="0.2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3"/>
    </row>
    <row r="112" spans="2:15" x14ac:dyDescent="0.2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3"/>
    </row>
    <row r="113" spans="2:15" x14ac:dyDescent="0.2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3"/>
    </row>
    <row r="114" spans="2:15" x14ac:dyDescent="0.2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3"/>
    </row>
    <row r="115" spans="2:15" x14ac:dyDescent="0.2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3"/>
    </row>
    <row r="116" spans="2:15" x14ac:dyDescent="0.2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3"/>
    </row>
    <row r="117" spans="2:15" x14ac:dyDescent="0.2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3"/>
    </row>
    <row r="118" spans="2:15" x14ac:dyDescent="0.2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3"/>
    </row>
    <row r="119" spans="2:15" x14ac:dyDescent="0.2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3"/>
    </row>
    <row r="120" spans="2:15" x14ac:dyDescent="0.2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3"/>
    </row>
    <row r="121" spans="2:15" x14ac:dyDescent="0.25"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3"/>
    </row>
    <row r="122" spans="2:15" x14ac:dyDescent="0.25"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3"/>
    </row>
    <row r="123" spans="2:15" x14ac:dyDescent="0.25"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3"/>
    </row>
    <row r="124" spans="2:15" x14ac:dyDescent="0.25"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3"/>
    </row>
    <row r="125" spans="2:15" x14ac:dyDescent="0.25"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3"/>
    </row>
    <row r="126" spans="2:15" x14ac:dyDescent="0.25"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3"/>
    </row>
    <row r="127" spans="2:15" x14ac:dyDescent="0.25"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3"/>
    </row>
    <row r="128" spans="2:15" x14ac:dyDescent="0.25"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3"/>
    </row>
    <row r="129" spans="2:15" x14ac:dyDescent="0.25"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3"/>
    </row>
    <row r="130" spans="2:15" x14ac:dyDescent="0.25"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3"/>
    </row>
    <row r="131" spans="2:15" x14ac:dyDescent="0.25"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3"/>
    </row>
    <row r="132" spans="2:15" x14ac:dyDescent="0.25"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3"/>
    </row>
    <row r="133" spans="2:15" x14ac:dyDescent="0.25"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3"/>
    </row>
    <row r="134" spans="2:15" x14ac:dyDescent="0.25"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3"/>
    </row>
    <row r="135" spans="2:15" x14ac:dyDescent="0.25"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3"/>
    </row>
    <row r="136" spans="2:15" x14ac:dyDescent="0.25"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3"/>
    </row>
    <row r="137" spans="2:15" x14ac:dyDescent="0.25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3"/>
    </row>
    <row r="138" spans="2:15" x14ac:dyDescent="0.25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3"/>
    </row>
    <row r="139" spans="2:15" x14ac:dyDescent="0.25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3"/>
    </row>
    <row r="140" spans="2:15" x14ac:dyDescent="0.25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3"/>
    </row>
    <row r="141" spans="2:15" x14ac:dyDescent="0.25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3"/>
    </row>
    <row r="142" spans="2:15" x14ac:dyDescent="0.25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3"/>
    </row>
    <row r="143" spans="2:15" x14ac:dyDescent="0.25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3"/>
    </row>
    <row r="144" spans="2:15" x14ac:dyDescent="0.25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3"/>
    </row>
    <row r="145" spans="2:15" x14ac:dyDescent="0.25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3"/>
    </row>
    <row r="146" spans="2:15" x14ac:dyDescent="0.25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3"/>
    </row>
    <row r="147" spans="2:15" x14ac:dyDescent="0.25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3"/>
    </row>
    <row r="148" spans="2:15" x14ac:dyDescent="0.25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3"/>
    </row>
    <row r="149" spans="2:15" x14ac:dyDescent="0.25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3"/>
    </row>
    <row r="150" spans="2:15" x14ac:dyDescent="0.25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3"/>
    </row>
    <row r="151" spans="2:15" x14ac:dyDescent="0.25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3"/>
    </row>
    <row r="152" spans="2:15" x14ac:dyDescent="0.25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3"/>
    </row>
    <row r="153" spans="2:15" x14ac:dyDescent="0.25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3"/>
    </row>
    <row r="154" spans="2:15" x14ac:dyDescent="0.25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3"/>
    </row>
    <row r="155" spans="2:15" x14ac:dyDescent="0.25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3"/>
    </row>
    <row r="156" spans="2:15" x14ac:dyDescent="0.25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3"/>
    </row>
    <row r="157" spans="2:15" x14ac:dyDescent="0.25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3"/>
    </row>
    <row r="158" spans="2:15" x14ac:dyDescent="0.25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3"/>
    </row>
    <row r="159" spans="2:15" x14ac:dyDescent="0.25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3"/>
    </row>
    <row r="160" spans="2:15" x14ac:dyDescent="0.25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3"/>
    </row>
    <row r="161" spans="2:15" x14ac:dyDescent="0.25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3"/>
    </row>
    <row r="162" spans="2:15" x14ac:dyDescent="0.25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3"/>
    </row>
    <row r="163" spans="2:15" x14ac:dyDescent="0.25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3"/>
    </row>
    <row r="164" spans="2:15" x14ac:dyDescent="0.25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3"/>
    </row>
    <row r="165" spans="2:15" x14ac:dyDescent="0.25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3"/>
    </row>
    <row r="166" spans="2:15" x14ac:dyDescent="0.25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3"/>
    </row>
    <row r="167" spans="2:15" x14ac:dyDescent="0.25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3"/>
    </row>
    <row r="168" spans="2:15" x14ac:dyDescent="0.25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3"/>
    </row>
    <row r="169" spans="2:15" x14ac:dyDescent="0.25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3"/>
    </row>
    <row r="170" spans="2:15" x14ac:dyDescent="0.25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3"/>
    </row>
    <row r="171" spans="2:15" x14ac:dyDescent="0.25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3"/>
    </row>
    <row r="172" spans="2:15" x14ac:dyDescent="0.25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3"/>
    </row>
    <row r="173" spans="2:15" x14ac:dyDescent="0.25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3"/>
    </row>
    <row r="174" spans="2:15" x14ac:dyDescent="0.25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3"/>
    </row>
    <row r="175" spans="2:15" x14ac:dyDescent="0.25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3"/>
    </row>
    <row r="176" spans="2:15" x14ac:dyDescent="0.25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3"/>
    </row>
    <row r="177" spans="2:15" x14ac:dyDescent="0.25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3"/>
    </row>
    <row r="178" spans="2:15" x14ac:dyDescent="0.25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3"/>
    </row>
    <row r="179" spans="2:15" x14ac:dyDescent="0.25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3"/>
    </row>
    <row r="180" spans="2:15" x14ac:dyDescent="0.25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3"/>
    </row>
    <row r="181" spans="2:15" x14ac:dyDescent="0.25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3"/>
    </row>
    <row r="182" spans="2:15" x14ac:dyDescent="0.25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3"/>
    </row>
    <row r="183" spans="2:15" x14ac:dyDescent="0.25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3"/>
    </row>
    <row r="184" spans="2:15" x14ac:dyDescent="0.25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3"/>
    </row>
    <row r="185" spans="2:15" x14ac:dyDescent="0.25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3"/>
    </row>
    <row r="186" spans="2:15" x14ac:dyDescent="0.25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3"/>
    </row>
    <row r="187" spans="2:15" x14ac:dyDescent="0.25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3"/>
    </row>
    <row r="188" spans="2:15" x14ac:dyDescent="0.25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3"/>
    </row>
    <row r="189" spans="2:15" x14ac:dyDescent="0.25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3"/>
    </row>
    <row r="190" spans="2:15" x14ac:dyDescent="0.25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3"/>
    </row>
    <row r="191" spans="2:15" x14ac:dyDescent="0.25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3"/>
    </row>
    <row r="192" spans="2:15" x14ac:dyDescent="0.25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3"/>
    </row>
    <row r="193" spans="2:15" x14ac:dyDescent="0.25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3"/>
    </row>
    <row r="194" spans="2:15" x14ac:dyDescent="0.25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3"/>
    </row>
    <row r="195" spans="2:15" x14ac:dyDescent="0.25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3"/>
    </row>
    <row r="196" spans="2:15" x14ac:dyDescent="0.25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3"/>
    </row>
    <row r="197" spans="2:15" x14ac:dyDescent="0.25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3"/>
    </row>
    <row r="198" spans="2:15" x14ac:dyDescent="0.25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3"/>
    </row>
    <row r="199" spans="2:15" x14ac:dyDescent="0.25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3"/>
    </row>
    <row r="200" spans="2:15" x14ac:dyDescent="0.25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3"/>
    </row>
    <row r="201" spans="2:15" x14ac:dyDescent="0.25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3"/>
    </row>
    <row r="202" spans="2:15" x14ac:dyDescent="0.25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3"/>
    </row>
    <row r="203" spans="2:15" x14ac:dyDescent="0.25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3"/>
    </row>
    <row r="204" spans="2:15" x14ac:dyDescent="0.25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3"/>
    </row>
    <row r="205" spans="2:15" x14ac:dyDescent="0.25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3"/>
    </row>
    <row r="206" spans="2:15" x14ac:dyDescent="0.25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3"/>
    </row>
    <row r="207" spans="2:15" x14ac:dyDescent="0.25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3"/>
    </row>
    <row r="208" spans="2:15" x14ac:dyDescent="0.25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3"/>
    </row>
    <row r="209" spans="2:15" x14ac:dyDescent="0.25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3"/>
    </row>
    <row r="210" spans="2:15" x14ac:dyDescent="0.25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3"/>
    </row>
    <row r="211" spans="2:15" x14ac:dyDescent="0.25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3"/>
    </row>
    <row r="212" spans="2:15" x14ac:dyDescent="0.25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3"/>
    </row>
    <row r="213" spans="2:15" x14ac:dyDescent="0.25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3"/>
    </row>
    <row r="214" spans="2:15" x14ac:dyDescent="0.25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3"/>
    </row>
    <row r="215" spans="2:15" x14ac:dyDescent="0.25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3"/>
    </row>
    <row r="216" spans="2:15" x14ac:dyDescent="0.25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3"/>
    </row>
    <row r="217" spans="2:15" x14ac:dyDescent="0.25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3"/>
    </row>
    <row r="218" spans="2:15" x14ac:dyDescent="0.2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3"/>
    </row>
    <row r="219" spans="2:15" x14ac:dyDescent="0.25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3"/>
    </row>
    <row r="220" spans="2:15" x14ac:dyDescent="0.25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3"/>
    </row>
    <row r="221" spans="2:15" x14ac:dyDescent="0.2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3"/>
    </row>
    <row r="222" spans="2:15" x14ac:dyDescent="0.2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3"/>
    </row>
    <row r="223" spans="2:15" x14ac:dyDescent="0.25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3"/>
    </row>
    <row r="224" spans="2:15" x14ac:dyDescent="0.25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3"/>
    </row>
    <row r="225" spans="2:15" x14ac:dyDescent="0.25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3"/>
    </row>
    <row r="226" spans="2:15" x14ac:dyDescent="0.25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3"/>
    </row>
    <row r="227" spans="2:15" x14ac:dyDescent="0.25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3"/>
    </row>
    <row r="228" spans="2:15" x14ac:dyDescent="0.25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3"/>
    </row>
    <row r="229" spans="2:15" x14ac:dyDescent="0.25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3"/>
    </row>
    <row r="230" spans="2:15" x14ac:dyDescent="0.25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3"/>
    </row>
    <row r="231" spans="2:15" x14ac:dyDescent="0.25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3"/>
    </row>
    <row r="232" spans="2:15" x14ac:dyDescent="0.25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3"/>
    </row>
    <row r="233" spans="2:15" x14ac:dyDescent="0.25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3"/>
    </row>
    <row r="234" spans="2:15" x14ac:dyDescent="0.25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3"/>
    </row>
    <row r="235" spans="2:15" x14ac:dyDescent="0.25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3"/>
    </row>
    <row r="236" spans="2:15" x14ac:dyDescent="0.25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3"/>
    </row>
    <row r="237" spans="2:15" x14ac:dyDescent="0.25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3"/>
    </row>
    <row r="238" spans="2:15" x14ac:dyDescent="0.25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3"/>
    </row>
    <row r="239" spans="2:15" x14ac:dyDescent="0.25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3"/>
    </row>
    <row r="240" spans="2:15" x14ac:dyDescent="0.25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3"/>
    </row>
    <row r="241" spans="2:15" x14ac:dyDescent="0.25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3"/>
    </row>
    <row r="242" spans="2:15" x14ac:dyDescent="0.25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3"/>
    </row>
    <row r="243" spans="2:15" x14ac:dyDescent="0.25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3"/>
    </row>
    <row r="244" spans="2:15" x14ac:dyDescent="0.25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3"/>
    </row>
    <row r="245" spans="2:15" x14ac:dyDescent="0.25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3"/>
    </row>
    <row r="246" spans="2:15" x14ac:dyDescent="0.25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3"/>
    </row>
    <row r="247" spans="2:15" x14ac:dyDescent="0.25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3"/>
    </row>
    <row r="248" spans="2:15" x14ac:dyDescent="0.25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3"/>
    </row>
    <row r="249" spans="2:15" x14ac:dyDescent="0.25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3"/>
    </row>
    <row r="250" spans="2:15" x14ac:dyDescent="0.25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3"/>
    </row>
    <row r="251" spans="2:15" x14ac:dyDescent="0.25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3"/>
    </row>
    <row r="252" spans="2:15" x14ac:dyDescent="0.25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3"/>
    </row>
    <row r="253" spans="2:15" x14ac:dyDescent="0.25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3"/>
    </row>
    <row r="254" spans="2:15" x14ac:dyDescent="0.25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3"/>
    </row>
    <row r="255" spans="2:15" x14ac:dyDescent="0.25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3"/>
    </row>
    <row r="256" spans="2:15" x14ac:dyDescent="0.25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3"/>
    </row>
    <row r="257" spans="2:15" x14ac:dyDescent="0.25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3"/>
    </row>
    <row r="258" spans="2:15" x14ac:dyDescent="0.25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3"/>
    </row>
    <row r="259" spans="2:15" x14ac:dyDescent="0.25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3"/>
    </row>
    <row r="260" spans="2:15" x14ac:dyDescent="0.25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3"/>
    </row>
    <row r="261" spans="2:15" x14ac:dyDescent="0.25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3"/>
    </row>
    <row r="262" spans="2:15" x14ac:dyDescent="0.25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3"/>
    </row>
    <row r="263" spans="2:15" x14ac:dyDescent="0.25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3"/>
    </row>
    <row r="264" spans="2:15" x14ac:dyDescent="0.25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3"/>
    </row>
    <row r="265" spans="2:15" x14ac:dyDescent="0.25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3"/>
    </row>
    <row r="266" spans="2:15" x14ac:dyDescent="0.25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3"/>
    </row>
    <row r="267" spans="2:15" x14ac:dyDescent="0.25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3"/>
    </row>
    <row r="268" spans="2:15" x14ac:dyDescent="0.25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3"/>
    </row>
    <row r="269" spans="2:15" x14ac:dyDescent="0.25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3"/>
    </row>
    <row r="270" spans="2:15" x14ac:dyDescent="0.25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3"/>
    </row>
    <row r="271" spans="2:15" x14ac:dyDescent="0.25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3"/>
    </row>
    <row r="272" spans="2:15" x14ac:dyDescent="0.25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3"/>
    </row>
    <row r="273" spans="2:15" x14ac:dyDescent="0.25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3"/>
    </row>
    <row r="274" spans="2:15" x14ac:dyDescent="0.25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3"/>
    </row>
    <row r="275" spans="2:15" x14ac:dyDescent="0.25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3"/>
    </row>
    <row r="276" spans="2:15" x14ac:dyDescent="0.25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3"/>
    </row>
    <row r="277" spans="2:15" x14ac:dyDescent="0.25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3"/>
    </row>
    <row r="278" spans="2:15" x14ac:dyDescent="0.25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3"/>
    </row>
    <row r="279" spans="2:15" x14ac:dyDescent="0.25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3"/>
    </row>
    <row r="280" spans="2:15" x14ac:dyDescent="0.25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3"/>
    </row>
    <row r="281" spans="2:15" x14ac:dyDescent="0.25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3"/>
    </row>
    <row r="282" spans="2:15" x14ac:dyDescent="0.25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3"/>
    </row>
    <row r="283" spans="2:15" x14ac:dyDescent="0.25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3"/>
    </row>
    <row r="284" spans="2:15" x14ac:dyDescent="0.25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3"/>
    </row>
    <row r="285" spans="2:15" x14ac:dyDescent="0.25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3"/>
    </row>
    <row r="286" spans="2:15" x14ac:dyDescent="0.25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3"/>
    </row>
    <row r="287" spans="2:15" x14ac:dyDescent="0.25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3"/>
    </row>
    <row r="288" spans="2:15" x14ac:dyDescent="0.25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3"/>
    </row>
    <row r="289" spans="2:15" x14ac:dyDescent="0.25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3"/>
    </row>
    <row r="290" spans="2:15" x14ac:dyDescent="0.25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3"/>
    </row>
    <row r="291" spans="2:15" x14ac:dyDescent="0.25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3"/>
    </row>
    <row r="292" spans="2:15" x14ac:dyDescent="0.25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3"/>
    </row>
    <row r="293" spans="2:15" x14ac:dyDescent="0.25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3"/>
    </row>
    <row r="294" spans="2:15" x14ac:dyDescent="0.25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3"/>
    </row>
    <row r="295" spans="2:15" x14ac:dyDescent="0.25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3"/>
    </row>
    <row r="296" spans="2:15" x14ac:dyDescent="0.25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3"/>
    </row>
    <row r="297" spans="2:15" x14ac:dyDescent="0.25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3"/>
    </row>
    <row r="298" spans="2:15" x14ac:dyDescent="0.25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3"/>
    </row>
    <row r="299" spans="2:15" x14ac:dyDescent="0.25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3"/>
    </row>
    <row r="300" spans="2:15" x14ac:dyDescent="0.25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3"/>
    </row>
    <row r="301" spans="2:15" x14ac:dyDescent="0.25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3"/>
    </row>
    <row r="302" spans="2:15" x14ac:dyDescent="0.25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3"/>
    </row>
    <row r="303" spans="2:15" x14ac:dyDescent="0.25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3"/>
    </row>
    <row r="304" spans="2:15" x14ac:dyDescent="0.25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3"/>
    </row>
    <row r="305" spans="2:15" x14ac:dyDescent="0.25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3"/>
    </row>
    <row r="306" spans="2:15" x14ac:dyDescent="0.25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3"/>
    </row>
    <row r="307" spans="2:15" x14ac:dyDescent="0.25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3"/>
    </row>
    <row r="308" spans="2:15" x14ac:dyDescent="0.25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3"/>
    </row>
    <row r="309" spans="2:15" x14ac:dyDescent="0.25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3"/>
    </row>
    <row r="310" spans="2:15" x14ac:dyDescent="0.25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3"/>
    </row>
    <row r="311" spans="2:15" x14ac:dyDescent="0.25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3"/>
    </row>
    <row r="312" spans="2:15" x14ac:dyDescent="0.25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3"/>
    </row>
    <row r="313" spans="2:15" x14ac:dyDescent="0.25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3"/>
    </row>
    <row r="314" spans="2:15" x14ac:dyDescent="0.25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3"/>
    </row>
    <row r="315" spans="2:15" x14ac:dyDescent="0.25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3"/>
    </row>
    <row r="316" spans="2:15" x14ac:dyDescent="0.25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3"/>
    </row>
    <row r="317" spans="2:15" x14ac:dyDescent="0.25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3"/>
    </row>
    <row r="318" spans="2:15" x14ac:dyDescent="0.25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3"/>
    </row>
    <row r="319" spans="2:15" x14ac:dyDescent="0.25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3"/>
    </row>
    <row r="320" spans="2:15" x14ac:dyDescent="0.25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3"/>
    </row>
    <row r="321" spans="2:15" x14ac:dyDescent="0.25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3"/>
    </row>
    <row r="322" spans="2:15" x14ac:dyDescent="0.25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3"/>
    </row>
    <row r="323" spans="2:15" x14ac:dyDescent="0.25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3"/>
    </row>
    <row r="324" spans="2:15" x14ac:dyDescent="0.25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3"/>
    </row>
    <row r="325" spans="2:15" x14ac:dyDescent="0.25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3"/>
    </row>
    <row r="326" spans="2:15" x14ac:dyDescent="0.25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3"/>
    </row>
    <row r="327" spans="2:15" x14ac:dyDescent="0.25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3"/>
    </row>
    <row r="328" spans="2:15" x14ac:dyDescent="0.25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3"/>
    </row>
    <row r="329" spans="2:15" x14ac:dyDescent="0.25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3"/>
    </row>
    <row r="330" spans="2:15" x14ac:dyDescent="0.25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3"/>
    </row>
    <row r="331" spans="2:15" x14ac:dyDescent="0.25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3"/>
    </row>
    <row r="332" spans="2:15" x14ac:dyDescent="0.25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3"/>
    </row>
    <row r="333" spans="2:15" x14ac:dyDescent="0.25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3"/>
    </row>
    <row r="334" spans="2:15" x14ac:dyDescent="0.25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3"/>
    </row>
    <row r="335" spans="2:15" x14ac:dyDescent="0.25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3"/>
    </row>
    <row r="336" spans="2:15" x14ac:dyDescent="0.25"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3"/>
    </row>
    <row r="337" spans="2:15" x14ac:dyDescent="0.25"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3"/>
    </row>
    <row r="338" spans="2:15" x14ac:dyDescent="0.25"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3"/>
    </row>
    <row r="339" spans="2:15" x14ac:dyDescent="0.25"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3"/>
    </row>
    <row r="340" spans="2:15" x14ac:dyDescent="0.25"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3"/>
    </row>
    <row r="341" spans="2:15" x14ac:dyDescent="0.25"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3"/>
    </row>
    <row r="342" spans="2:15" x14ac:dyDescent="0.25"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3"/>
    </row>
    <row r="343" spans="2:15" x14ac:dyDescent="0.25"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3"/>
    </row>
    <row r="344" spans="2:15" x14ac:dyDescent="0.25"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3"/>
    </row>
    <row r="345" spans="2:15" x14ac:dyDescent="0.25"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3"/>
    </row>
    <row r="346" spans="2:15" x14ac:dyDescent="0.25"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3"/>
    </row>
    <row r="347" spans="2:15" x14ac:dyDescent="0.25"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3"/>
    </row>
    <row r="348" spans="2:15" x14ac:dyDescent="0.25"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3"/>
    </row>
    <row r="349" spans="2:15" x14ac:dyDescent="0.25"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3"/>
    </row>
    <row r="350" spans="2:15" x14ac:dyDescent="0.25"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3"/>
    </row>
    <row r="351" spans="2:15" x14ac:dyDescent="0.25"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3"/>
    </row>
    <row r="352" spans="2:15" x14ac:dyDescent="0.25"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3"/>
    </row>
    <row r="353" spans="2:15" x14ac:dyDescent="0.25"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3"/>
    </row>
    <row r="354" spans="2:15" x14ac:dyDescent="0.25"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3"/>
    </row>
    <row r="355" spans="2:15" x14ac:dyDescent="0.25"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3"/>
    </row>
    <row r="356" spans="2:15" x14ac:dyDescent="0.25"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3"/>
    </row>
    <row r="357" spans="2:15" x14ac:dyDescent="0.25"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3"/>
    </row>
    <row r="358" spans="2:15" x14ac:dyDescent="0.25"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3"/>
    </row>
    <row r="359" spans="2:15" x14ac:dyDescent="0.25"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3"/>
    </row>
    <row r="360" spans="2:15" x14ac:dyDescent="0.25"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3"/>
    </row>
    <row r="361" spans="2:15" x14ac:dyDescent="0.25"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3"/>
    </row>
    <row r="362" spans="2:15" x14ac:dyDescent="0.25"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3"/>
    </row>
    <row r="363" spans="2:15" x14ac:dyDescent="0.25"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3"/>
    </row>
    <row r="364" spans="2:15" x14ac:dyDescent="0.25"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3"/>
    </row>
    <row r="365" spans="2:15" x14ac:dyDescent="0.25"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3"/>
    </row>
    <row r="366" spans="2:15" x14ac:dyDescent="0.25"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3"/>
    </row>
    <row r="367" spans="2:15" x14ac:dyDescent="0.25"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3"/>
    </row>
    <row r="368" spans="2:15" x14ac:dyDescent="0.25"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3"/>
    </row>
    <row r="369" spans="2:15" x14ac:dyDescent="0.25"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3"/>
    </row>
    <row r="370" spans="2:15" x14ac:dyDescent="0.25"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3"/>
    </row>
    <row r="371" spans="2:15" x14ac:dyDescent="0.25"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3"/>
    </row>
    <row r="372" spans="2:15" x14ac:dyDescent="0.25"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3"/>
    </row>
    <row r="373" spans="2:15" x14ac:dyDescent="0.25"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3"/>
    </row>
    <row r="374" spans="2:15" x14ac:dyDescent="0.25"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3"/>
    </row>
    <row r="375" spans="2:15" x14ac:dyDescent="0.25"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3"/>
    </row>
    <row r="376" spans="2:15" x14ac:dyDescent="0.25"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3"/>
    </row>
    <row r="377" spans="2:15" x14ac:dyDescent="0.25"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3"/>
    </row>
    <row r="378" spans="2:15" x14ac:dyDescent="0.25"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3"/>
    </row>
    <row r="379" spans="2:15" x14ac:dyDescent="0.25"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3"/>
    </row>
    <row r="380" spans="2:15" x14ac:dyDescent="0.25"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3"/>
    </row>
    <row r="381" spans="2:15" x14ac:dyDescent="0.25"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3"/>
    </row>
    <row r="382" spans="2:15" x14ac:dyDescent="0.25"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3"/>
    </row>
    <row r="383" spans="2:15" x14ac:dyDescent="0.25"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3"/>
    </row>
    <row r="384" spans="2:15" x14ac:dyDescent="0.25"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3"/>
    </row>
    <row r="385" spans="2:15" x14ac:dyDescent="0.25"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3"/>
    </row>
    <row r="386" spans="2:15" x14ac:dyDescent="0.25"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3"/>
    </row>
    <row r="387" spans="2:15" x14ac:dyDescent="0.25"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3"/>
    </row>
    <row r="388" spans="2:15" x14ac:dyDescent="0.25"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3"/>
    </row>
    <row r="389" spans="2:15" x14ac:dyDescent="0.25"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3"/>
    </row>
    <row r="390" spans="2:15" x14ac:dyDescent="0.25"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3"/>
    </row>
    <row r="391" spans="2:15" x14ac:dyDescent="0.25"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3"/>
    </row>
    <row r="392" spans="2:15" x14ac:dyDescent="0.25"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3"/>
    </row>
    <row r="393" spans="2:15" x14ac:dyDescent="0.25"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3"/>
    </row>
    <row r="394" spans="2:15" x14ac:dyDescent="0.25"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3"/>
    </row>
    <row r="395" spans="2:15" x14ac:dyDescent="0.25"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3"/>
    </row>
    <row r="396" spans="2:15" x14ac:dyDescent="0.25"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3"/>
    </row>
    <row r="397" spans="2:15" x14ac:dyDescent="0.25"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3"/>
    </row>
    <row r="398" spans="2:15" x14ac:dyDescent="0.25"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3"/>
    </row>
    <row r="399" spans="2:15" x14ac:dyDescent="0.25"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3"/>
    </row>
    <row r="400" spans="2:15" x14ac:dyDescent="0.25"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3"/>
    </row>
    <row r="401" spans="2:15" x14ac:dyDescent="0.25"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3"/>
    </row>
    <row r="402" spans="2:15" x14ac:dyDescent="0.25"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3"/>
    </row>
    <row r="403" spans="2:15" x14ac:dyDescent="0.25"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3"/>
    </row>
    <row r="404" spans="2:15" x14ac:dyDescent="0.25"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3"/>
    </row>
    <row r="405" spans="2:15" x14ac:dyDescent="0.25"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3"/>
    </row>
    <row r="406" spans="2:15" x14ac:dyDescent="0.25"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3"/>
    </row>
    <row r="407" spans="2:15" x14ac:dyDescent="0.25"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3"/>
    </row>
    <row r="408" spans="2:15" x14ac:dyDescent="0.25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3"/>
    </row>
    <row r="409" spans="2:15" x14ac:dyDescent="0.25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3"/>
    </row>
    <row r="410" spans="2:15" x14ac:dyDescent="0.25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3"/>
    </row>
    <row r="411" spans="2:15" x14ac:dyDescent="0.25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3"/>
    </row>
    <row r="412" spans="2:15" x14ac:dyDescent="0.25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3"/>
    </row>
    <row r="413" spans="2:15" x14ac:dyDescent="0.25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3"/>
    </row>
    <row r="414" spans="2:15" x14ac:dyDescent="0.25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3"/>
    </row>
    <row r="415" spans="2:15" x14ac:dyDescent="0.25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3"/>
    </row>
    <row r="416" spans="2:15" x14ac:dyDescent="0.25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3"/>
    </row>
    <row r="417" spans="2:15" x14ac:dyDescent="0.25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3"/>
    </row>
    <row r="418" spans="2:15" x14ac:dyDescent="0.25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3"/>
    </row>
    <row r="419" spans="2:15" x14ac:dyDescent="0.25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3"/>
    </row>
    <row r="420" spans="2:15" x14ac:dyDescent="0.25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3"/>
    </row>
    <row r="421" spans="2:15" x14ac:dyDescent="0.25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3"/>
    </row>
    <row r="422" spans="2:15" x14ac:dyDescent="0.25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3"/>
    </row>
    <row r="423" spans="2:15" x14ac:dyDescent="0.25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3"/>
    </row>
    <row r="424" spans="2:15" x14ac:dyDescent="0.25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3"/>
    </row>
    <row r="425" spans="2:15" x14ac:dyDescent="0.25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3"/>
    </row>
    <row r="426" spans="2:15" x14ac:dyDescent="0.25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3"/>
    </row>
    <row r="427" spans="2:15" x14ac:dyDescent="0.25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3"/>
    </row>
    <row r="428" spans="2:15" x14ac:dyDescent="0.25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3"/>
    </row>
    <row r="429" spans="2:15" x14ac:dyDescent="0.25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3"/>
    </row>
    <row r="430" spans="2:15" x14ac:dyDescent="0.25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3"/>
    </row>
    <row r="431" spans="2:15" x14ac:dyDescent="0.25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3"/>
    </row>
    <row r="432" spans="2:15" x14ac:dyDescent="0.25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3"/>
    </row>
    <row r="433" spans="2:15" x14ac:dyDescent="0.25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3"/>
    </row>
    <row r="434" spans="2:15" x14ac:dyDescent="0.25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3"/>
    </row>
    <row r="435" spans="2:15" x14ac:dyDescent="0.25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3"/>
    </row>
    <row r="436" spans="2:15" x14ac:dyDescent="0.25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3"/>
    </row>
    <row r="437" spans="2:15" x14ac:dyDescent="0.25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3"/>
    </row>
    <row r="438" spans="2:15" x14ac:dyDescent="0.25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3"/>
    </row>
    <row r="439" spans="2:15" x14ac:dyDescent="0.25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3"/>
    </row>
    <row r="440" spans="2:15" x14ac:dyDescent="0.25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3"/>
    </row>
    <row r="441" spans="2:15" x14ac:dyDescent="0.25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3"/>
    </row>
    <row r="442" spans="2:15" x14ac:dyDescent="0.25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3"/>
    </row>
    <row r="443" spans="2:15" x14ac:dyDescent="0.25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3"/>
    </row>
    <row r="444" spans="2:15" x14ac:dyDescent="0.25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3"/>
    </row>
    <row r="445" spans="2:15" x14ac:dyDescent="0.25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3"/>
    </row>
    <row r="446" spans="2:15" x14ac:dyDescent="0.25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3"/>
    </row>
    <row r="447" spans="2:15" x14ac:dyDescent="0.25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3"/>
    </row>
    <row r="448" spans="2:15" x14ac:dyDescent="0.25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3"/>
    </row>
    <row r="449" spans="2:15" x14ac:dyDescent="0.25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3"/>
    </row>
    <row r="450" spans="2:15" x14ac:dyDescent="0.25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3"/>
    </row>
    <row r="451" spans="2:15" x14ac:dyDescent="0.25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3"/>
    </row>
    <row r="452" spans="2:15" x14ac:dyDescent="0.25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3"/>
    </row>
    <row r="453" spans="2:15" x14ac:dyDescent="0.25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3"/>
    </row>
    <row r="454" spans="2:15" x14ac:dyDescent="0.25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3"/>
    </row>
    <row r="455" spans="2:15" x14ac:dyDescent="0.25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3"/>
    </row>
    <row r="456" spans="2:15" x14ac:dyDescent="0.25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3"/>
    </row>
    <row r="457" spans="2:15" x14ac:dyDescent="0.25"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3"/>
    </row>
    <row r="458" spans="2:15" x14ac:dyDescent="0.25"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3"/>
    </row>
    <row r="459" spans="2:15" x14ac:dyDescent="0.25"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3"/>
    </row>
    <row r="460" spans="2:15" x14ac:dyDescent="0.25"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3"/>
    </row>
    <row r="461" spans="2:15" x14ac:dyDescent="0.25"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3"/>
    </row>
    <row r="462" spans="2:15" x14ac:dyDescent="0.25"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3"/>
    </row>
    <row r="463" spans="2:15" x14ac:dyDescent="0.25"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3"/>
    </row>
    <row r="464" spans="2:15" x14ac:dyDescent="0.25"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3"/>
    </row>
    <row r="465" spans="2:15" x14ac:dyDescent="0.25"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3"/>
    </row>
    <row r="466" spans="2:15" x14ac:dyDescent="0.25"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3"/>
    </row>
    <row r="467" spans="2:15" x14ac:dyDescent="0.25"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3"/>
    </row>
    <row r="468" spans="2:15" x14ac:dyDescent="0.25"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3"/>
    </row>
    <row r="469" spans="2:15" x14ac:dyDescent="0.25"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3"/>
    </row>
    <row r="470" spans="2:15" x14ac:dyDescent="0.25"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3"/>
    </row>
    <row r="471" spans="2:15" x14ac:dyDescent="0.25"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3"/>
    </row>
    <row r="472" spans="2:15" x14ac:dyDescent="0.25"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3"/>
    </row>
    <row r="473" spans="2:15" x14ac:dyDescent="0.25"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3"/>
    </row>
    <row r="474" spans="2:15" x14ac:dyDescent="0.25"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3"/>
    </row>
    <row r="475" spans="2:15" x14ac:dyDescent="0.25"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3"/>
    </row>
    <row r="476" spans="2:15" x14ac:dyDescent="0.25"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3"/>
    </row>
    <row r="477" spans="2:15" x14ac:dyDescent="0.25"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3"/>
    </row>
    <row r="478" spans="2:15" x14ac:dyDescent="0.25"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3"/>
    </row>
    <row r="479" spans="2:15" x14ac:dyDescent="0.25"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3"/>
    </row>
    <row r="480" spans="2:15" x14ac:dyDescent="0.25"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3"/>
    </row>
    <row r="481" spans="2:15" x14ac:dyDescent="0.25"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3"/>
    </row>
    <row r="482" spans="2:15" x14ac:dyDescent="0.25"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3"/>
    </row>
    <row r="483" spans="2:15" x14ac:dyDescent="0.25"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3"/>
    </row>
    <row r="484" spans="2:15" x14ac:dyDescent="0.25"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3"/>
    </row>
    <row r="485" spans="2:15" x14ac:dyDescent="0.25"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3"/>
    </row>
    <row r="486" spans="2:15" x14ac:dyDescent="0.25"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3"/>
    </row>
    <row r="487" spans="2:15" x14ac:dyDescent="0.25"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3"/>
    </row>
    <row r="488" spans="2:15" x14ac:dyDescent="0.25"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3"/>
    </row>
    <row r="489" spans="2:15" x14ac:dyDescent="0.25"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3"/>
    </row>
    <row r="490" spans="2:15" x14ac:dyDescent="0.25"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3"/>
    </row>
    <row r="491" spans="2:15" x14ac:dyDescent="0.25"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3"/>
    </row>
    <row r="492" spans="2:15" x14ac:dyDescent="0.25"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3"/>
    </row>
    <row r="493" spans="2:15" x14ac:dyDescent="0.25"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3"/>
    </row>
    <row r="494" spans="2:15" x14ac:dyDescent="0.25"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3"/>
    </row>
    <row r="495" spans="2:15" x14ac:dyDescent="0.25"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3"/>
    </row>
    <row r="496" spans="2:15" x14ac:dyDescent="0.25"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3"/>
    </row>
    <row r="497" spans="2:15" x14ac:dyDescent="0.25"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3"/>
    </row>
    <row r="498" spans="2:15" x14ac:dyDescent="0.25"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3"/>
    </row>
    <row r="499" spans="2:15" x14ac:dyDescent="0.25"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3"/>
    </row>
    <row r="500" spans="2:15" x14ac:dyDescent="0.25"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ommandButton4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47625</xdr:colOff>
                <xdr:row>2</xdr:row>
                <xdr:rowOff>0</xdr:rowOff>
              </to>
            </anchor>
          </controlPr>
        </control>
      </mc:Choice>
      <mc:Fallback>
        <control shapeId="1029" r:id="rId3" name="CommandButton4"/>
      </mc:Fallback>
    </mc:AlternateContent>
    <mc:AlternateContent xmlns:mc="http://schemas.openxmlformats.org/markup-compatibility/2006">
      <mc:Choice Requires="x14">
        <control shapeId="1028" r:id="rId5" name="CommandButton3">
          <controlPr defaultSize="0" autoLine="0" r:id="rId6">
            <anchor moveWithCells="1">
              <from>
                <xdr:col>12</xdr:col>
                <xdr:colOff>161925</xdr:colOff>
                <xdr:row>0</xdr:row>
                <xdr:rowOff>0</xdr:rowOff>
              </from>
              <to>
                <xdr:col>13</xdr:col>
                <xdr:colOff>104775</xdr:colOff>
                <xdr:row>2</xdr:row>
                <xdr:rowOff>0</xdr:rowOff>
              </to>
            </anchor>
          </controlPr>
        </control>
      </mc:Choice>
      <mc:Fallback>
        <control shapeId="1028" r:id="rId5" name="CommandButton3"/>
      </mc:Fallback>
    </mc:AlternateContent>
    <mc:AlternateContent xmlns:mc="http://schemas.openxmlformats.org/markup-compatibility/2006">
      <mc:Choice Requires="x14">
        <control shapeId="1025" r:id="rId7" name="CommandButton1">
          <controlPr defaultSize="0" autoLine="0" r:id="rId8">
            <anchor moveWithCells="1">
              <from>
                <xdr:col>4</xdr:col>
                <xdr:colOff>85725</xdr:colOff>
                <xdr:row>0</xdr:row>
                <xdr:rowOff>0</xdr:rowOff>
              </from>
              <to>
                <xdr:col>5</xdr:col>
                <xdr:colOff>495300</xdr:colOff>
                <xdr:row>2</xdr:row>
                <xdr:rowOff>0</xdr:rowOff>
              </to>
            </anchor>
          </controlPr>
        </control>
      </mc:Choice>
      <mc:Fallback>
        <control shapeId="1025" r:id="rId7" name="CommandButton1"/>
      </mc:Fallback>
    </mc:AlternateContent>
    <mc:AlternateContent xmlns:mc="http://schemas.openxmlformats.org/markup-compatibility/2006">
      <mc:Choice Requires="x14">
        <control shapeId="1027" r:id="rId9" name="CommandButton2">
          <controlPr defaultSize="0" autoLine="0" r:id="rId10">
            <anchor moveWithCells="1">
              <from>
                <xdr:col>13</xdr:col>
                <xdr:colOff>590550</xdr:colOff>
                <xdr:row>0</xdr:row>
                <xdr:rowOff>0</xdr:rowOff>
              </from>
              <to>
                <xdr:col>15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7" r:id="rId9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2"/>
  <sheetViews>
    <sheetView tabSelected="1" workbookViewId="0">
      <selection activeCell="A19" sqref="A19"/>
    </sheetView>
  </sheetViews>
  <sheetFormatPr defaultRowHeight="15" x14ac:dyDescent="0.25"/>
  <cols>
    <col min="1" max="1" width="52.375" style="29" bestFit="1" customWidth="1"/>
    <col min="2" max="2" width="55.75" style="29" bestFit="1" customWidth="1"/>
  </cols>
  <sheetData>
    <row r="1" spans="1:2" x14ac:dyDescent="0.25">
      <c r="A1" s="32" t="s">
        <v>94</v>
      </c>
      <c r="B1" s="31" t="s">
        <v>97</v>
      </c>
    </row>
    <row r="2" spans="1:2" x14ac:dyDescent="0.25">
      <c r="A2" s="33" t="s">
        <v>11</v>
      </c>
      <c r="B2" s="37" t="s">
        <v>17</v>
      </c>
    </row>
    <row r="3" spans="1:2" x14ac:dyDescent="0.25">
      <c r="A3" s="33" t="s">
        <v>12</v>
      </c>
      <c r="B3" s="34" t="s">
        <v>18</v>
      </c>
    </row>
    <row r="4" spans="1:2" x14ac:dyDescent="0.25">
      <c r="A4" s="33" t="s">
        <v>26</v>
      </c>
      <c r="B4" s="34" t="s">
        <v>19</v>
      </c>
    </row>
    <row r="5" spans="1:2" x14ac:dyDescent="0.25">
      <c r="A5" s="33" t="s">
        <v>27</v>
      </c>
      <c r="B5" s="34" t="s">
        <v>20</v>
      </c>
    </row>
    <row r="6" spans="1:2" x14ac:dyDescent="0.25">
      <c r="A6" s="33" t="s">
        <v>13</v>
      </c>
      <c r="B6" s="34" t="s">
        <v>10</v>
      </c>
    </row>
    <row r="7" spans="1:2" x14ac:dyDescent="0.25">
      <c r="A7" s="33" t="s">
        <v>14</v>
      </c>
      <c r="B7" s="34" t="s">
        <v>21</v>
      </c>
    </row>
    <row r="8" spans="1:2" x14ac:dyDescent="0.25">
      <c r="A8" s="33" t="s">
        <v>15</v>
      </c>
      <c r="B8" s="34" t="s">
        <v>98</v>
      </c>
    </row>
    <row r="9" spans="1:2" x14ac:dyDescent="0.25">
      <c r="A9" s="33" t="s">
        <v>16</v>
      </c>
      <c r="B9" s="34" t="s">
        <v>99</v>
      </c>
    </row>
    <row r="10" spans="1:2" x14ac:dyDescent="0.25">
      <c r="A10" s="33" t="s">
        <v>95</v>
      </c>
      <c r="B10" s="34" t="s">
        <v>100</v>
      </c>
    </row>
    <row r="11" spans="1:2" x14ac:dyDescent="0.25">
      <c r="A11" s="33" t="s">
        <v>96</v>
      </c>
      <c r="B11" s="34" t="s">
        <v>101</v>
      </c>
    </row>
    <row r="12" spans="1:2" x14ac:dyDescent="0.25">
      <c r="A12" s="33" t="s">
        <v>7</v>
      </c>
      <c r="B12" s="34" t="s">
        <v>107</v>
      </c>
    </row>
    <row r="13" spans="1:2" x14ac:dyDescent="0.25">
      <c r="A13" s="33" t="s">
        <v>91</v>
      </c>
      <c r="B13" s="34" t="s">
        <v>108</v>
      </c>
    </row>
    <row r="14" spans="1:2" x14ac:dyDescent="0.25">
      <c r="A14" s="33" t="s">
        <v>103</v>
      </c>
      <c r="B14" s="34" t="s">
        <v>109</v>
      </c>
    </row>
    <row r="15" spans="1:2" x14ac:dyDescent="0.25">
      <c r="A15" s="33" t="s">
        <v>104</v>
      </c>
      <c r="B15" s="34" t="s">
        <v>110</v>
      </c>
    </row>
    <row r="16" spans="1:2" x14ac:dyDescent="0.25">
      <c r="A16" s="33"/>
      <c r="B16" s="34"/>
    </row>
    <row r="17" spans="1:2" x14ac:dyDescent="0.25">
      <c r="A17" s="34"/>
      <c r="B17" s="31"/>
    </row>
    <row r="18" spans="1:2" x14ac:dyDescent="0.25">
      <c r="A18" s="34"/>
      <c r="B18" s="36" t="s">
        <v>102</v>
      </c>
    </row>
    <row r="19" spans="1:2" ht="195" x14ac:dyDescent="0.25">
      <c r="A19" s="34"/>
      <c r="B19" s="35" t="s">
        <v>105</v>
      </c>
    </row>
    <row r="20" spans="1:2" x14ac:dyDescent="0.25">
      <c r="A20" s="34"/>
      <c r="B20" s="35"/>
    </row>
    <row r="21" spans="1:2" x14ac:dyDescent="0.25">
      <c r="B21" s="31" t="s">
        <v>111</v>
      </c>
    </row>
    <row r="22" spans="1:2" x14ac:dyDescent="0.25">
      <c r="B22" s="29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58"/>
  <sheetViews>
    <sheetView workbookViewId="0">
      <selection activeCell="G4" sqref="G4"/>
    </sheetView>
  </sheetViews>
  <sheetFormatPr defaultRowHeight="15" x14ac:dyDescent="0.25"/>
  <sheetData>
    <row r="1" spans="1:5" x14ac:dyDescent="0.25">
      <c r="A1" t="s">
        <v>1</v>
      </c>
      <c r="B1" t="s">
        <v>31</v>
      </c>
      <c r="C1" t="s">
        <v>32</v>
      </c>
      <c r="D1" t="s">
        <v>33</v>
      </c>
      <c r="E1" t="s">
        <v>34</v>
      </c>
    </row>
    <row r="2" spans="1:5" x14ac:dyDescent="0.25">
      <c r="A2" t="s">
        <v>35</v>
      </c>
      <c r="B2">
        <v>1E-4</v>
      </c>
      <c r="C2">
        <v>10</v>
      </c>
      <c r="D2">
        <v>100000</v>
      </c>
      <c r="E2">
        <v>1980</v>
      </c>
    </row>
    <row r="3" spans="1:5" x14ac:dyDescent="0.25">
      <c r="A3" t="s">
        <v>36</v>
      </c>
      <c r="B3">
        <v>1E-4</v>
      </c>
      <c r="C3">
        <v>6.25</v>
      </c>
      <c r="D3">
        <v>62500</v>
      </c>
      <c r="E3">
        <v>3960</v>
      </c>
    </row>
    <row r="4" spans="1:5" x14ac:dyDescent="0.25">
      <c r="A4" t="s">
        <v>37</v>
      </c>
      <c r="B4">
        <v>5.0000000000000002E-5</v>
      </c>
      <c r="C4">
        <v>5</v>
      </c>
      <c r="D4">
        <v>100000</v>
      </c>
      <c r="E4">
        <v>1595</v>
      </c>
    </row>
    <row r="5" spans="1:5" x14ac:dyDescent="0.25">
      <c r="A5" t="s">
        <v>30</v>
      </c>
      <c r="B5">
        <v>5.0000000000000002E-5</v>
      </c>
      <c r="C5">
        <v>6.25</v>
      </c>
      <c r="D5">
        <v>125000</v>
      </c>
      <c r="E5">
        <v>3685</v>
      </c>
    </row>
    <row r="6" spans="1:5" x14ac:dyDescent="0.25">
      <c r="A6" t="s">
        <v>38</v>
      </c>
      <c r="B6">
        <v>4.9999999999999998E-7</v>
      </c>
      <c r="C6">
        <v>6.25</v>
      </c>
      <c r="D6">
        <v>12500000</v>
      </c>
      <c r="E6">
        <v>4510</v>
      </c>
    </row>
    <row r="7" spans="1:5" x14ac:dyDescent="0.25">
      <c r="A7" t="s">
        <v>39</v>
      </c>
      <c r="B7">
        <v>1.0000000000000001E-5</v>
      </c>
      <c r="C7">
        <v>5</v>
      </c>
      <c r="D7">
        <v>500000</v>
      </c>
      <c r="E7">
        <v>1705</v>
      </c>
    </row>
    <row r="8" spans="1:5" x14ac:dyDescent="0.25">
      <c r="A8" t="s">
        <v>40</v>
      </c>
      <c r="B8">
        <v>1E-4</v>
      </c>
      <c r="C8">
        <v>10</v>
      </c>
      <c r="D8">
        <v>100000</v>
      </c>
      <c r="E8">
        <v>2090</v>
      </c>
    </row>
    <row r="9" spans="1:5" x14ac:dyDescent="0.25">
      <c r="A9" t="s">
        <v>41</v>
      </c>
      <c r="B9">
        <v>1E-4</v>
      </c>
      <c r="C9">
        <v>12.5</v>
      </c>
      <c r="D9">
        <v>125000</v>
      </c>
      <c r="E9">
        <v>3960</v>
      </c>
    </row>
    <row r="10" spans="1:5" x14ac:dyDescent="0.25">
      <c r="A10" t="s">
        <v>42</v>
      </c>
      <c r="B10">
        <v>0.01</v>
      </c>
      <c r="C10">
        <v>10</v>
      </c>
      <c r="D10">
        <v>1000</v>
      </c>
      <c r="E10">
        <v>3300</v>
      </c>
    </row>
    <row r="11" spans="1:5" x14ac:dyDescent="0.25">
      <c r="A11" t="s">
        <v>43</v>
      </c>
      <c r="B11">
        <v>1</v>
      </c>
      <c r="C11">
        <v>10</v>
      </c>
      <c r="D11">
        <v>10</v>
      </c>
      <c r="E11">
        <v>1815</v>
      </c>
    </row>
    <row r="12" spans="1:5" x14ac:dyDescent="0.25">
      <c r="A12" t="s">
        <v>44</v>
      </c>
      <c r="B12">
        <v>0.01</v>
      </c>
      <c r="C12">
        <v>10</v>
      </c>
      <c r="D12">
        <v>1000</v>
      </c>
      <c r="E12">
        <v>3190</v>
      </c>
    </row>
    <row r="13" spans="1:5" x14ac:dyDescent="0.25">
      <c r="A13" t="s">
        <v>45</v>
      </c>
      <c r="B13">
        <v>0.01</v>
      </c>
      <c r="C13">
        <v>5</v>
      </c>
      <c r="D13">
        <v>500</v>
      </c>
      <c r="E13">
        <v>1760</v>
      </c>
    </row>
    <row r="14" spans="1:5" x14ac:dyDescent="0.25">
      <c r="A14" t="s">
        <v>46</v>
      </c>
      <c r="B14">
        <v>5.0000000000000001E-3</v>
      </c>
      <c r="C14">
        <v>5</v>
      </c>
      <c r="D14">
        <v>1000</v>
      </c>
      <c r="E14">
        <v>1980</v>
      </c>
    </row>
    <row r="15" spans="1:5" x14ac:dyDescent="0.25">
      <c r="A15" t="s">
        <v>47</v>
      </c>
      <c r="B15">
        <v>1E-4</v>
      </c>
      <c r="C15">
        <v>6.25</v>
      </c>
      <c r="D15">
        <v>62500</v>
      </c>
      <c r="E15">
        <v>1842.5</v>
      </c>
    </row>
    <row r="16" spans="1:5" x14ac:dyDescent="0.25">
      <c r="A16" t="s">
        <v>48</v>
      </c>
      <c r="B16">
        <v>0.1</v>
      </c>
      <c r="C16">
        <v>10</v>
      </c>
      <c r="D16">
        <v>100</v>
      </c>
      <c r="E16">
        <v>6820</v>
      </c>
    </row>
    <row r="17" spans="1:5" x14ac:dyDescent="0.25">
      <c r="A17" t="s">
        <v>49</v>
      </c>
      <c r="B17">
        <v>0.25</v>
      </c>
      <c r="C17">
        <v>12.5</v>
      </c>
      <c r="D17">
        <v>50</v>
      </c>
      <c r="E17">
        <v>4950</v>
      </c>
    </row>
    <row r="18" spans="1:5" x14ac:dyDescent="0.25">
      <c r="A18" t="s">
        <v>50</v>
      </c>
      <c r="B18">
        <v>0.1</v>
      </c>
      <c r="C18">
        <v>10</v>
      </c>
      <c r="D18">
        <v>100</v>
      </c>
      <c r="E18">
        <v>5940</v>
      </c>
    </row>
    <row r="19" spans="1:5" x14ac:dyDescent="0.25">
      <c r="A19" t="s">
        <v>51</v>
      </c>
      <c r="B19">
        <v>5.0000000000000001E-3</v>
      </c>
      <c r="C19">
        <v>12.5</v>
      </c>
      <c r="D19">
        <v>2500</v>
      </c>
      <c r="E19">
        <v>247.5</v>
      </c>
    </row>
    <row r="20" spans="1:5" x14ac:dyDescent="0.25">
      <c r="A20" t="s">
        <v>52</v>
      </c>
      <c r="B20">
        <v>2.5000000000000001E-2</v>
      </c>
      <c r="C20">
        <v>12.5</v>
      </c>
      <c r="D20">
        <v>500</v>
      </c>
      <c r="E20">
        <v>3712.5</v>
      </c>
    </row>
    <row r="21" spans="1:5" x14ac:dyDescent="0.25">
      <c r="A21" t="s">
        <v>53</v>
      </c>
      <c r="B21">
        <v>2.5000000000000001E-3</v>
      </c>
      <c r="C21">
        <v>6.25</v>
      </c>
      <c r="D21">
        <v>2500</v>
      </c>
      <c r="E21">
        <v>253</v>
      </c>
    </row>
    <row r="22" spans="1:5" x14ac:dyDescent="0.25">
      <c r="A22" t="s">
        <v>54</v>
      </c>
      <c r="B22">
        <v>2.5000000000000001E-2</v>
      </c>
      <c r="C22">
        <v>10</v>
      </c>
      <c r="D22">
        <v>400</v>
      </c>
      <c r="E22">
        <v>1320</v>
      </c>
    </row>
    <row r="23" spans="1:5" x14ac:dyDescent="0.25">
      <c r="A23" t="s">
        <v>55</v>
      </c>
      <c r="B23">
        <v>5.0000000000000001E-3</v>
      </c>
      <c r="C23">
        <v>12.5</v>
      </c>
      <c r="D23">
        <v>2500</v>
      </c>
      <c r="E23">
        <v>2530</v>
      </c>
    </row>
    <row r="24" spans="1:5" x14ac:dyDescent="0.25">
      <c r="A24" t="s">
        <v>56</v>
      </c>
      <c r="B24">
        <v>1E-4</v>
      </c>
      <c r="C24">
        <v>4.2</v>
      </c>
      <c r="D24">
        <v>42000</v>
      </c>
      <c r="E24">
        <v>4290</v>
      </c>
    </row>
    <row r="25" spans="1:5" x14ac:dyDescent="0.25">
      <c r="A25" t="s">
        <v>57</v>
      </c>
      <c r="B25">
        <v>9.9999999999999995E-7</v>
      </c>
      <c r="C25">
        <v>6.25</v>
      </c>
      <c r="D25">
        <v>6250000</v>
      </c>
      <c r="E25">
        <v>2255</v>
      </c>
    </row>
    <row r="26" spans="1:5" x14ac:dyDescent="0.25">
      <c r="A26" t="s">
        <v>58</v>
      </c>
      <c r="B26">
        <v>0.05</v>
      </c>
      <c r="C26">
        <v>18.75</v>
      </c>
      <c r="D26">
        <v>375</v>
      </c>
      <c r="E26">
        <v>3135</v>
      </c>
    </row>
    <row r="27" spans="1:5" x14ac:dyDescent="0.25">
      <c r="A27" t="s">
        <v>59</v>
      </c>
      <c r="B27">
        <v>0.25</v>
      </c>
      <c r="C27">
        <v>12.5</v>
      </c>
      <c r="D27">
        <v>50</v>
      </c>
      <c r="E27">
        <v>1320</v>
      </c>
    </row>
    <row r="28" spans="1:5" x14ac:dyDescent="0.25">
      <c r="A28" t="s">
        <v>60</v>
      </c>
      <c r="B28">
        <v>0.1</v>
      </c>
      <c r="C28">
        <v>11</v>
      </c>
      <c r="D28">
        <v>110</v>
      </c>
      <c r="E28">
        <v>1540</v>
      </c>
    </row>
    <row r="29" spans="1:5" x14ac:dyDescent="0.25">
      <c r="A29" t="s">
        <v>61</v>
      </c>
      <c r="B29">
        <v>2.5000000000000001E-2</v>
      </c>
      <c r="C29">
        <v>10</v>
      </c>
      <c r="D29">
        <v>400</v>
      </c>
      <c r="E29">
        <v>1980</v>
      </c>
    </row>
    <row r="30" spans="1:5" x14ac:dyDescent="0.25">
      <c r="A30" t="s">
        <v>62</v>
      </c>
      <c r="B30">
        <v>1E-4</v>
      </c>
      <c r="C30">
        <v>1</v>
      </c>
      <c r="D30">
        <v>10000</v>
      </c>
      <c r="E30">
        <v>198</v>
      </c>
    </row>
    <row r="31" spans="1:5" x14ac:dyDescent="0.25">
      <c r="A31" t="s">
        <v>63</v>
      </c>
      <c r="B31">
        <v>1E-4</v>
      </c>
      <c r="C31">
        <v>0.63</v>
      </c>
      <c r="D31">
        <v>6300</v>
      </c>
      <c r="E31">
        <v>396</v>
      </c>
    </row>
    <row r="32" spans="1:5" x14ac:dyDescent="0.25">
      <c r="A32" t="s">
        <v>64</v>
      </c>
      <c r="B32">
        <v>1E-4</v>
      </c>
      <c r="C32">
        <v>1.25</v>
      </c>
      <c r="D32">
        <v>12500</v>
      </c>
      <c r="E32">
        <v>368.5</v>
      </c>
    </row>
    <row r="33" spans="1:5" x14ac:dyDescent="0.25">
      <c r="A33" t="s">
        <v>65</v>
      </c>
      <c r="B33">
        <v>1E-3</v>
      </c>
      <c r="C33">
        <v>10</v>
      </c>
      <c r="D33">
        <v>10000</v>
      </c>
      <c r="E33">
        <v>2580</v>
      </c>
    </row>
    <row r="34" spans="1:5" x14ac:dyDescent="0.25">
      <c r="A34" t="s">
        <v>66</v>
      </c>
      <c r="B34">
        <v>5</v>
      </c>
      <c r="C34">
        <v>25</v>
      </c>
      <c r="D34">
        <v>5</v>
      </c>
      <c r="E34">
        <v>6050</v>
      </c>
    </row>
    <row r="35" spans="1:5" x14ac:dyDescent="0.25">
      <c r="A35" t="s">
        <v>67</v>
      </c>
      <c r="B35">
        <v>0.25</v>
      </c>
      <c r="C35">
        <v>5</v>
      </c>
      <c r="D35">
        <v>20</v>
      </c>
      <c r="E35">
        <v>3960</v>
      </c>
    </row>
    <row r="36" spans="1:5" x14ac:dyDescent="0.25">
      <c r="A36" t="s">
        <v>68</v>
      </c>
      <c r="B36">
        <v>0.05</v>
      </c>
      <c r="C36">
        <v>7.5</v>
      </c>
      <c r="D36">
        <v>150</v>
      </c>
      <c r="E36">
        <v>2088.9</v>
      </c>
    </row>
    <row r="37" spans="1:5" x14ac:dyDescent="0.25">
      <c r="A37" t="s">
        <v>69</v>
      </c>
      <c r="B37">
        <v>0.05</v>
      </c>
      <c r="C37">
        <v>5</v>
      </c>
      <c r="D37">
        <v>100</v>
      </c>
      <c r="E37">
        <v>3850</v>
      </c>
    </row>
    <row r="38" spans="1:5" x14ac:dyDescent="0.25">
      <c r="A38" t="s">
        <v>70</v>
      </c>
      <c r="B38">
        <v>0.1</v>
      </c>
      <c r="C38">
        <v>5</v>
      </c>
      <c r="D38">
        <v>50</v>
      </c>
      <c r="E38">
        <v>2640</v>
      </c>
    </row>
    <row r="39" spans="1:5" x14ac:dyDescent="0.25">
      <c r="A39" t="s">
        <v>71</v>
      </c>
      <c r="B39">
        <v>5.0000000000000001E-3</v>
      </c>
      <c r="C39">
        <v>12.5</v>
      </c>
      <c r="D39">
        <v>2500</v>
      </c>
      <c r="E39">
        <v>646.79999999999995</v>
      </c>
    </row>
    <row r="40" spans="1:5" x14ac:dyDescent="0.25">
      <c r="A40" t="s">
        <v>72</v>
      </c>
      <c r="B40">
        <v>2.5000000000000001E-2</v>
      </c>
      <c r="C40">
        <v>12.5</v>
      </c>
      <c r="D40">
        <v>500</v>
      </c>
      <c r="E40">
        <v>1595</v>
      </c>
    </row>
    <row r="41" spans="1:5" x14ac:dyDescent="0.25">
      <c r="A41" t="s">
        <v>73</v>
      </c>
      <c r="B41">
        <v>1E-4</v>
      </c>
      <c r="C41">
        <v>4.2</v>
      </c>
      <c r="D41">
        <v>42000</v>
      </c>
      <c r="E41">
        <v>4620</v>
      </c>
    </row>
    <row r="42" spans="1:5" x14ac:dyDescent="0.25">
      <c r="A42" t="s">
        <v>74</v>
      </c>
      <c r="B42">
        <v>0.01</v>
      </c>
      <c r="C42">
        <v>11.2</v>
      </c>
      <c r="D42">
        <v>1120</v>
      </c>
      <c r="E42">
        <v>1663.2</v>
      </c>
    </row>
    <row r="43" spans="1:5" x14ac:dyDescent="0.25">
      <c r="A43" t="s">
        <v>75</v>
      </c>
      <c r="B43">
        <v>5.0000000000000001E-3</v>
      </c>
      <c r="C43">
        <v>25</v>
      </c>
      <c r="D43">
        <v>5000</v>
      </c>
      <c r="E43">
        <v>5775</v>
      </c>
    </row>
    <row r="44" spans="1:5" x14ac:dyDescent="0.25">
      <c r="A44" t="s">
        <v>76</v>
      </c>
      <c r="B44">
        <v>0.1</v>
      </c>
      <c r="C44">
        <v>10</v>
      </c>
      <c r="D44">
        <v>100</v>
      </c>
      <c r="E44">
        <v>6490</v>
      </c>
    </row>
    <row r="45" spans="1:5" x14ac:dyDescent="0.25">
      <c r="A45" t="s">
        <v>77</v>
      </c>
      <c r="B45">
        <v>0.05</v>
      </c>
      <c r="C45">
        <v>50</v>
      </c>
      <c r="D45">
        <v>1000</v>
      </c>
      <c r="E45">
        <v>6215</v>
      </c>
    </row>
    <row r="46" spans="1:5" x14ac:dyDescent="0.25">
      <c r="A46" t="s">
        <v>78</v>
      </c>
      <c r="B46">
        <v>0.125</v>
      </c>
      <c r="C46">
        <v>1.25</v>
      </c>
      <c r="D46">
        <v>10</v>
      </c>
      <c r="E46">
        <v>231</v>
      </c>
    </row>
    <row r="47" spans="1:5" x14ac:dyDescent="0.25">
      <c r="A47" t="s">
        <v>79</v>
      </c>
      <c r="B47">
        <v>0.125</v>
      </c>
      <c r="C47">
        <v>1.25</v>
      </c>
      <c r="D47">
        <v>10</v>
      </c>
      <c r="E47">
        <v>594</v>
      </c>
    </row>
    <row r="48" spans="1:5" x14ac:dyDescent="0.25">
      <c r="A48" t="s">
        <v>29</v>
      </c>
      <c r="B48">
        <v>0.125</v>
      </c>
      <c r="C48">
        <v>1.25</v>
      </c>
      <c r="D48">
        <v>10</v>
      </c>
      <c r="E48">
        <v>264</v>
      </c>
    </row>
    <row r="49" spans="1:5" x14ac:dyDescent="0.25">
      <c r="A49" t="s">
        <v>80</v>
      </c>
      <c r="B49">
        <v>0.1</v>
      </c>
      <c r="C49">
        <v>3.22</v>
      </c>
      <c r="D49">
        <v>32.200000000000003</v>
      </c>
      <c r="E49">
        <v>2121.9</v>
      </c>
    </row>
    <row r="50" spans="1:5" x14ac:dyDescent="0.25">
      <c r="A50" t="s">
        <v>81</v>
      </c>
      <c r="B50">
        <v>1E-3</v>
      </c>
      <c r="C50">
        <v>1</v>
      </c>
      <c r="D50">
        <v>1000</v>
      </c>
      <c r="E50">
        <v>1628</v>
      </c>
    </row>
    <row r="51" spans="1:5" x14ac:dyDescent="0.25">
      <c r="A51" t="s">
        <v>82</v>
      </c>
      <c r="B51">
        <v>1</v>
      </c>
      <c r="C51">
        <v>5</v>
      </c>
      <c r="D51">
        <v>5</v>
      </c>
      <c r="E51">
        <v>3905</v>
      </c>
    </row>
    <row r="52" spans="1:5" x14ac:dyDescent="0.25">
      <c r="A52" t="s">
        <v>83</v>
      </c>
      <c r="B52">
        <v>0.25</v>
      </c>
      <c r="C52">
        <v>12.5</v>
      </c>
      <c r="D52">
        <v>50</v>
      </c>
      <c r="E52">
        <v>1155</v>
      </c>
    </row>
    <row r="53" spans="1:5" x14ac:dyDescent="0.25">
      <c r="A53" t="s">
        <v>84</v>
      </c>
      <c r="B53">
        <v>0.01</v>
      </c>
      <c r="C53">
        <v>6</v>
      </c>
      <c r="D53">
        <v>600</v>
      </c>
      <c r="E53">
        <v>825</v>
      </c>
    </row>
    <row r="54" spans="1:5" x14ac:dyDescent="0.25">
      <c r="A54" t="s">
        <v>85</v>
      </c>
      <c r="B54">
        <v>0.1</v>
      </c>
      <c r="C54">
        <v>10</v>
      </c>
      <c r="D54">
        <v>100</v>
      </c>
      <c r="E54">
        <v>2475</v>
      </c>
    </row>
    <row r="55" spans="1:5" x14ac:dyDescent="0.25">
      <c r="A55" t="s">
        <v>86</v>
      </c>
      <c r="B55">
        <v>0.25</v>
      </c>
      <c r="C55">
        <v>12.5</v>
      </c>
      <c r="D55">
        <v>50</v>
      </c>
      <c r="E55">
        <v>770</v>
      </c>
    </row>
    <row r="56" spans="1:5" x14ac:dyDescent="0.25">
      <c r="A56" t="s">
        <v>87</v>
      </c>
      <c r="B56">
        <v>5.0000000000000001E-3</v>
      </c>
      <c r="C56">
        <v>20.84</v>
      </c>
      <c r="D56">
        <v>4168</v>
      </c>
      <c r="E56">
        <v>198</v>
      </c>
    </row>
    <row r="57" spans="1:5" x14ac:dyDescent="0.25">
      <c r="A57" t="s">
        <v>88</v>
      </c>
      <c r="B57">
        <v>0.25</v>
      </c>
      <c r="C57">
        <v>12.5</v>
      </c>
      <c r="D57">
        <v>50</v>
      </c>
      <c r="E57">
        <v>2970</v>
      </c>
    </row>
    <row r="58" spans="1:5" x14ac:dyDescent="0.25">
      <c r="A58" t="s">
        <v>89</v>
      </c>
      <c r="B58">
        <v>0.25</v>
      </c>
      <c r="C58">
        <v>12.5</v>
      </c>
      <c r="D58">
        <v>50</v>
      </c>
      <c r="E58">
        <v>1320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TradingLog</vt:lpstr>
      <vt:lpstr>Calculations</vt:lpstr>
      <vt:lpstr>Reference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Mathew Fok</dc:creator>
  <cp:lastModifiedBy>Mathew Fok</cp:lastModifiedBy>
  <dcterms:created xsi:type="dcterms:W3CDTF">2016-09-22T00:23:31Z</dcterms:created>
  <dcterms:modified xsi:type="dcterms:W3CDTF">2016-10-08T05:37:31Z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6c805463-f0fe-4a38-82d4-6e380f724b56</vt:lpwstr>
  </property>
</Properties>
</file>