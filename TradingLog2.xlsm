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15" windowWidth="19440" windowHeight="11760" tabRatio="479"/>
  </bookViews>
  <sheets>
    <sheet name="TradingLog" sheetId="1" r:id="rId1"/>
    <sheet name="Calculations" sheetId="2" r:id="rId2"/>
    <sheet name="Reference" sheetId="3" r:id="rId3"/>
    <sheet name="TradeableFutures" sheetId="4" r:id="rId4"/>
    <sheet name="Sheet2" sheetId="5" r:id="rId5"/>
  </sheets>
  <calcPr calcId="144525"/>
</workbook>
</file>

<file path=xl/calcChain.xml><?xml version="1.0" encoding="utf-8"?>
<calcChain xmlns="http://schemas.openxmlformats.org/spreadsheetml/2006/main">
  <c r="W1" i="1" l="1"/>
  <c r="E1" i="4"/>
</calcChain>
</file>

<file path=xl/sharedStrings.xml><?xml version="1.0" encoding="utf-8"?>
<sst xmlns="http://schemas.openxmlformats.org/spreadsheetml/2006/main" count="325" uniqueCount="120">
  <si>
    <t>Time</t>
  </si>
  <si>
    <t>Symbol</t>
  </si>
  <si>
    <t>Entry</t>
  </si>
  <si>
    <t>Exit</t>
  </si>
  <si>
    <t>Stop</t>
  </si>
  <si>
    <t>Notes</t>
  </si>
  <si>
    <t>(Exit - Entry) / Entry</t>
  </si>
  <si>
    <t>Reward/Risk (Long)</t>
  </si>
  <si>
    <t>Reward/Risk (Short)</t>
  </si>
  <si>
    <t>Reward/RiskStop (Long)</t>
  </si>
  <si>
    <t>Reward/RiskStop (Short)</t>
  </si>
  <si>
    <t>(Entry - Exit) / Entry</t>
  </si>
  <si>
    <t>Reward/Risk</t>
  </si>
  <si>
    <t>Reward/RiskStop</t>
  </si>
  <si>
    <t>Net Portfolio Value</t>
  </si>
  <si>
    <t>/XW</t>
  </si>
  <si>
    <t>/6E</t>
  </si>
  <si>
    <t>Tick Size</t>
  </si>
  <si>
    <t>Tick Value</t>
  </si>
  <si>
    <t>Value/Tick</t>
  </si>
  <si>
    <t>Initial Margin</t>
  </si>
  <si>
    <t>/6A</t>
  </si>
  <si>
    <t>/6B</t>
  </si>
  <si>
    <t>/6C</t>
  </si>
  <si>
    <t>/6J</t>
  </si>
  <si>
    <t>/6M</t>
  </si>
  <si>
    <t>/6N</t>
  </si>
  <si>
    <t>/6S</t>
  </si>
  <si>
    <t>/BZ</t>
  </si>
  <si>
    <t>/CC</t>
  </si>
  <si>
    <t>/CL</t>
  </si>
  <si>
    <t>/CT</t>
  </si>
  <si>
    <t>/DX</t>
  </si>
  <si>
    <t>/E7</t>
  </si>
  <si>
    <t>/EMD</t>
  </si>
  <si>
    <t>/ES</t>
  </si>
  <si>
    <t>/GC</t>
  </si>
  <si>
    <t>/GE</t>
  </si>
  <si>
    <t>/GF</t>
  </si>
  <si>
    <t>/GLB</t>
  </si>
  <si>
    <t>/HE</t>
  </si>
  <si>
    <t>/HG</t>
  </si>
  <si>
    <t>/HO</t>
  </si>
  <si>
    <t>/J7</t>
  </si>
  <si>
    <t>/KC</t>
  </si>
  <si>
    <t>/KE</t>
  </si>
  <si>
    <t>/LBS</t>
  </si>
  <si>
    <t>/LE</t>
  </si>
  <si>
    <t>/M6A</t>
  </si>
  <si>
    <t>/M6B</t>
  </si>
  <si>
    <t>/M6E</t>
  </si>
  <si>
    <t>/NG</t>
  </si>
  <si>
    <t>/NKD</t>
  </si>
  <si>
    <t>/NQ</t>
  </si>
  <si>
    <t>/OJ</t>
  </si>
  <si>
    <t>/PA</t>
  </si>
  <si>
    <t>/PL</t>
  </si>
  <si>
    <t>/QG</t>
  </si>
  <si>
    <t>/QM</t>
  </si>
  <si>
    <t>/RB</t>
  </si>
  <si>
    <t>/SB</t>
  </si>
  <si>
    <t>/SI</t>
  </si>
  <si>
    <t>/TF</t>
  </si>
  <si>
    <t>/VX</t>
  </si>
  <si>
    <t>/XC</t>
  </si>
  <si>
    <t>/XK</t>
  </si>
  <si>
    <t>/YG</t>
  </si>
  <si>
    <t>/YI</t>
  </si>
  <si>
    <t>/YM</t>
  </si>
  <si>
    <t>/ZC</t>
  </si>
  <si>
    <t>/ZL</t>
  </si>
  <si>
    <t>/ZM</t>
  </si>
  <si>
    <t>/ZO</t>
  </si>
  <si>
    <t>/ZQ</t>
  </si>
  <si>
    <t>/ZS</t>
  </si>
  <si>
    <t>/ZW</t>
  </si>
  <si>
    <t>Tradeable Futures</t>
  </si>
  <si>
    <t>Metric</t>
  </si>
  <si>
    <t>Calculation</t>
  </si>
  <si>
    <t>(Exit - Entry) / (Entry - Stop)</t>
  </si>
  <si>
    <t>(Entry - Exit) / (Stop - Entry)</t>
  </si>
  <si>
    <t>(Exit - Stop)</t>
  </si>
  <si>
    <t>(Stop - Exit)</t>
  </si>
  <si>
    <t>Directions</t>
  </si>
  <si>
    <t>&gt;= Value/Tick</t>
  </si>
  <si>
    <t>Match</t>
  </si>
  <si>
    <t>Click top left button 'Click Here First' to start. Then enter trade into Trading Log form. _x000D_
The Trading Log form can be accessed by clicking the Trading Log button. All fields should be filled, however _x000D_
fields Stop and Notes do not have to be filled._x000D_
_x000D_
Other notes: Futures entries without the / symbol could be mistaken for a stock. To prevent this,_x000D_
please adhere to the ' / ' convention for futures. The 'Tradable Futures' and '&gt;= Value/Tick' column are listing_x000D_
futures metrics and do not apply to any other financial intrument. (Please note Shares (+) is the same as Contracts (+) for_x000D_
derivatives.</t>
  </si>
  <si>
    <t>This log is not responsible for any investment decisions or advice.</t>
  </si>
  <si>
    <t xml:space="preserve">(Entry x Shares) / Net Portfolio Value </t>
  </si>
  <si>
    <t>Futures that have an Initial Margin &lt;= Net Portfolio Value</t>
  </si>
  <si>
    <t>Futures that have a greater or equal Tick Value/ Tick Size</t>
  </si>
  <si>
    <t>Futures listed here are both listed in Tradeable Futures or &gt;= Value/Tick.</t>
  </si>
  <si>
    <t>Disclosure</t>
  </si>
  <si>
    <t>Short</t>
  </si>
  <si>
    <t>Long</t>
  </si>
  <si>
    <t>Stop in or no trade.</t>
  </si>
  <si>
    <t>% Portfolio Risked</t>
  </si>
  <si>
    <t>Long/ Short</t>
  </si>
  <si>
    <t>(Exit - Entry) x Shares or ((Exit - Entry)/Tick Size) x Tick Value x Contracts</t>
  </si>
  <si>
    <t>(Entry - Exit) x Shares or ((Entry - Exit)/Tick Size) x Tick Value x Contracts</t>
  </si>
  <si>
    <t>((Exit - Entry) x Shares) / Net Portfolio Value or (((Exit - Entry)/Tick Size) x Tick Value x Contracts) / Net Portfolio Value</t>
  </si>
  <si>
    <t>((Entry - Exit) x Shares) / Net Portfolio Value or (((Entry - Exit)/Tick Size) x Tick Value x Contracts) / Net Portfolio Value</t>
  </si>
  <si>
    <t>Date</t>
  </si>
  <si>
    <t>Contracts</t>
  </si>
  <si>
    <t>mm/dd/yyyy</t>
  </si>
  <si>
    <t>HH:MI:SS (24)</t>
  </si>
  <si>
    <t>Profit &amp; Loss (Long)</t>
  </si>
  <si>
    <t>Profit &amp; Loss (Short)</t>
  </si>
  <si>
    <t>Profit &amp; Loss to Portfolio (Long)</t>
  </si>
  <si>
    <t>Profit &amp; Loss to Portfolio (Short)</t>
  </si>
  <si>
    <t>&gt;=  Tick Value * Size</t>
  </si>
  <si>
    <t>Profit &amp; Loss</t>
  </si>
  <si>
    <t>Profit &amp; Loss to Portfolio</t>
  </si>
  <si>
    <t>Reward/Risk Stop with Stop Greater Than or Equal to Entry (Long)</t>
  </si>
  <si>
    <t>Reward/Risk Stop with Stop Greater Than or Equal to Entry (Short)</t>
  </si>
  <si>
    <t>Account was -440 Funds were added here to bring account to 0 plus intial margin or more.</t>
  </si>
  <si>
    <t>date</t>
  </si>
  <si>
    <t>stop</t>
  </si>
  <si>
    <t>Stop &gt; Entry PROFIT ZONE</t>
  </si>
  <si>
    <t>Account was -85 Funds were added here to bring account to 0 plus intial margin or more.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</si>
</sst>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h:mm:ss;@"/>
    <numFmt numFmtId="165" formatCode="0.0000"/>
    <numFmt numFmtId="166" formatCode="&quot;$&quot;#,##0.00"/>
    <numFmt numFmtId="167" formatCode="&quot;$&quot;#,##0"/>
    <numFmt numFmtId="168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17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28"/>
      <color theme="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9A9F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5" fillId="0" borderId="0" xfId="0" applyFont="1"/>
    <xf numFmtId="0" fontId="6" fillId="0" borderId="0" xfId="0" applyFont="1"/>
    <xf numFmtId="164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0" fontId="5" fillId="0" borderId="2" xfId="0" applyNumberFormat="1" applyFont="1" applyBorder="1" applyAlignment="1">
      <alignment horizontal="center" vertical="center"/>
    </xf>
    <xf numFmtId="2" fontId="5" fillId="0" borderId="2" xfId="0" applyNumberFormat="1" applyFont="1" applyBorder="1" applyAlignment="1">
      <alignment horizontal="center" vertical="center"/>
    </xf>
    <xf numFmtId="167" fontId="5" fillId="0" borderId="2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5" fillId="2" borderId="0" xfId="0" applyFont="1" applyFill="1" applyBorder="1"/>
    <xf numFmtId="2" fontId="2" fillId="2" borderId="0" xfId="0" applyNumberFormat="1" applyFont="1" applyFill="1" applyBorder="1"/>
    <xf numFmtId="0" fontId="6" fillId="2" borderId="0" xfId="0" applyFont="1" applyFill="1"/>
    <xf numFmtId="164" fontId="5" fillId="2" borderId="0" xfId="0" applyNumberFormat="1" applyFont="1" applyFill="1" applyBorder="1" applyAlignment="1">
      <alignment horizontal="center"/>
    </xf>
    <xf numFmtId="1" fontId="5" fillId="2" borderId="0" xfId="0" applyNumberFormat="1" applyFont="1" applyFill="1" applyBorder="1"/>
    <xf numFmtId="165" fontId="5" fillId="2" borderId="0" xfId="0" applyNumberFormat="1" applyFont="1" applyFill="1" applyBorder="1"/>
    <xf numFmtId="166" fontId="5" fillId="2" borderId="0" xfId="0" applyNumberFormat="1" applyFont="1" applyFill="1" applyBorder="1"/>
    <xf numFmtId="10" fontId="5" fillId="2" borderId="0" xfId="0" applyNumberFormat="1" applyFont="1" applyFill="1" applyBorder="1"/>
    <xf numFmtId="0" fontId="2" fillId="2" borderId="0" xfId="0" applyFont="1" applyFill="1"/>
    <xf numFmtId="0" fontId="5" fillId="2" borderId="0" xfId="0" applyFont="1" applyFill="1"/>
    <xf numFmtId="0" fontId="5" fillId="0" borderId="1" xfId="0" applyFont="1" applyBorder="1" applyAlignment="1">
      <alignment horizontal="left" vertical="center"/>
    </xf>
    <xf numFmtId="0" fontId="5" fillId="0" borderId="0" xfId="0" applyFont="1" applyAlignment="1">
      <alignment horizontal="left"/>
    </xf>
    <xf numFmtId="0" fontId="5" fillId="2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center" vertical="center" wrapText="1"/>
    </xf>
    <xf numFmtId="164" fontId="4" fillId="3" borderId="3" xfId="0" applyNumberFormat="1" applyFont="1" applyFill="1" applyBorder="1" applyAlignment="1">
      <alignment horizontal="center" vertical="center" wrapText="1"/>
    </xf>
    <xf numFmtId="1" fontId="4" fillId="3" borderId="4" xfId="0" applyNumberFormat="1" applyFont="1" applyFill="1" applyBorder="1" applyAlignment="1">
      <alignment horizontal="center" vertical="center" wrapText="1"/>
    </xf>
    <xf numFmtId="165" fontId="4" fillId="3" borderId="3" xfId="0" applyNumberFormat="1" applyFont="1" applyFill="1" applyBorder="1" applyAlignment="1">
      <alignment horizontal="center" vertical="center" wrapText="1"/>
    </xf>
    <xf numFmtId="166" fontId="4" fillId="3" borderId="3" xfId="0" applyNumberFormat="1" applyFont="1" applyFill="1" applyBorder="1" applyAlignment="1">
      <alignment horizontal="center" vertical="center" wrapText="1"/>
    </xf>
    <xf numFmtId="10" fontId="4" fillId="3" borderId="3" xfId="0" applyNumberFormat="1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10" fontId="9" fillId="2" borderId="0" xfId="0" applyNumberFormat="1" applyFont="1" applyFill="1" applyBorder="1"/>
    <xf numFmtId="168" fontId="5" fillId="0" borderId="2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5" fillId="0" borderId="2" xfId="0" applyFont="1" applyFill="1" applyBorder="1" applyAlignment="1">
      <alignment horizontal="center" vertical="center"/>
    </xf>
    <xf numFmtId="167" fontId="5" fillId="0" borderId="1" xfId="0" applyNumberFormat="1" applyFont="1" applyBorder="1" applyAlignment="1">
      <alignment horizontal="left" vertical="center"/>
    </xf>
    <xf numFmtId="167" fontId="5" fillId="0" borderId="1" xfId="0" applyNumberFormat="1" applyFont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09A9F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TradingLog!$A$4:$A$9</c:f>
              <c:strCache>
                <c:ptCount val="1"/>
                <c:pt idx="0">
                  <c:v>mm/dd/yyyy mm/dd/yyyy mm/dd/yyyy mm/dd/yyyy mm/dd/yyyy mm/dd/yyyy</c:v>
                </c:pt>
              </c:strCache>
            </c:strRef>
          </c:tx>
          <c:marker>
            <c:symbol val="none"/>
          </c:marker>
          <c:cat>
            <c:strRef>
              <c:f>TradingLog!$O$3:$O$13</c:f>
              <c:strCache>
                <c:ptCount val="7"/>
                <c:pt idx="0">
                  <c:v>Notes</c:v>
                </c:pt>
                <c:pt idx="6">
                  <c:v>Account was -440 Funds were added here to bring account to 0 plus intial margin or more.</c:v>
                </c:pt>
              </c:strCache>
            </c:strRef>
          </c:cat>
          <c:val>
            <c:numRef>
              <c:f>TradingLog!$N$4:$N$9</c:f>
              <c:numCache>
                <c:formatCode>"$"#,##0</c:formatCode>
                <c:ptCount val="6"/>
                <c:pt idx="0">
                  <c:v>3235</c:v>
                </c:pt>
                <c:pt idx="1">
                  <c:v>2500</c:v>
                </c:pt>
                <c:pt idx="2">
                  <c:v>1765</c:v>
                </c:pt>
                <c:pt idx="3">
                  <c:v>1030</c:v>
                </c:pt>
                <c:pt idx="4">
                  <c:v>295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001216"/>
        <c:axId val="157002752"/>
      </c:lineChart>
      <c:catAx>
        <c:axId val="157001216"/>
        <c:scaling>
          <c:orientation val="minMax"/>
        </c:scaling>
        <c:delete val="0"/>
        <c:axPos val="b"/>
        <c:majorTickMark val="out"/>
        <c:minorTickMark val="none"/>
        <c:tickLblPos val="nextTo"/>
        <c:crossAx val="157002752"/>
        <c:crosses val="autoZero"/>
        <c:auto val="1"/>
        <c:lblAlgn val="ctr"/>
        <c:lblOffset val="100"/>
        <c:noMultiLvlLbl val="0"/>
      </c:catAx>
      <c:valAx>
        <c:axId val="157002752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1570012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333375</xdr:colOff>
          <xdr:row>0</xdr:row>
          <xdr:rowOff>314325</xdr:rowOff>
        </xdr:from>
        <xdr:to>
          <xdr:col>10</xdr:col>
          <xdr:colOff>28575</xdr:colOff>
          <xdr:row>1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333375</xdr:colOff>
          <xdr:row>0</xdr:row>
          <xdr:rowOff>0</xdr:rowOff>
        </xdr:from>
        <xdr:to>
          <xdr:col>10</xdr:col>
          <xdr:colOff>28575</xdr:colOff>
          <xdr:row>0</xdr:row>
          <xdr:rowOff>304800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314325</xdr:rowOff>
        </xdr:from>
        <xdr:to>
          <xdr:col>8</xdr:col>
          <xdr:colOff>285750</xdr:colOff>
          <xdr:row>1</xdr:row>
          <xdr:rowOff>161925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8</xdr:col>
          <xdr:colOff>285750</xdr:colOff>
          <xdr:row>0</xdr:row>
          <xdr:rowOff>304800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14</xdr:col>
      <xdr:colOff>3181350</xdr:colOff>
      <xdr:row>2</xdr:row>
      <xdr:rowOff>104775</xdr:rowOff>
    </xdr:from>
    <xdr:to>
      <xdr:col>22</xdr:col>
      <xdr:colOff>28575</xdr:colOff>
      <xdr:row>15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9A9F1"/>
  </sheetPr>
  <dimension ref="A1:W420"/>
  <sheetViews>
    <sheetView tabSelected="1" workbookViewId="0">
      <selection activeCell="N20" sqref="A17:N20"/>
    </sheetView>
  </sheetViews>
  <sheetFormatPr defaultRowHeight="15" x14ac:dyDescent="0.25"/>
  <cols>
    <col min="1" max="1" width="10.7109375" style="6" customWidth="1"/>
    <col min="2" max="14" width="8.7109375" style="6" customWidth="1"/>
    <col min="15" max="15" width="48.7109375" style="28" customWidth="1"/>
    <col min="16" max="16" width="12.28515625" style="26" bestFit="1" customWidth="1"/>
    <col min="17" max="18" width="9.140625" style="26"/>
    <col min="19" max="16384" width="9.140625" style="6"/>
  </cols>
  <sheetData>
    <row r="1" spans="1:23" ht="36" x14ac:dyDescent="0.55000000000000004">
      <c r="A1" s="38" t="s">
        <v>95</v>
      </c>
      <c r="B1" s="16"/>
      <c r="C1" s="16"/>
      <c r="D1" s="16"/>
      <c r="E1" s="16"/>
      <c r="F1" s="16"/>
      <c r="G1" s="17"/>
      <c r="H1" s="16"/>
      <c r="J1" s="26"/>
      <c r="K1" s="16"/>
      <c r="L1" s="16"/>
      <c r="M1" s="16"/>
      <c r="N1" s="16"/>
      <c r="O1" s="16"/>
      <c r="P1" s="18"/>
      <c r="Q1" s="19"/>
      <c r="W1" s="6">
        <f>VLOOKUP(W2, Reference!$A$2:$E$58, 4, FALSE)</f>
        <v>500</v>
      </c>
    </row>
    <row r="2" spans="1:23" ht="15.75" thickBot="1" x14ac:dyDescent="0.3">
      <c r="A2" s="30"/>
      <c r="B2" s="20"/>
      <c r="C2" s="17"/>
      <c r="D2" s="17"/>
      <c r="E2" s="21"/>
      <c r="F2" s="22"/>
      <c r="G2" s="16"/>
      <c r="H2" s="22"/>
      <c r="I2" s="23"/>
      <c r="K2" s="22"/>
      <c r="L2" s="22"/>
      <c r="M2" s="24"/>
      <c r="N2" s="23"/>
      <c r="O2" s="29"/>
      <c r="P2" s="25"/>
      <c r="Q2" s="19"/>
      <c r="W2" s="6" t="s">
        <v>58</v>
      </c>
    </row>
    <row r="3" spans="1:23" ht="42.75" customHeight="1" thickBot="1" x14ac:dyDescent="0.3">
      <c r="A3" s="31" t="s">
        <v>102</v>
      </c>
      <c r="B3" s="32" t="s">
        <v>0</v>
      </c>
      <c r="C3" s="31" t="s">
        <v>1</v>
      </c>
      <c r="D3" s="31" t="s">
        <v>97</v>
      </c>
      <c r="E3" s="33" t="s">
        <v>103</v>
      </c>
      <c r="F3" s="34" t="s">
        <v>2</v>
      </c>
      <c r="G3" s="34" t="s">
        <v>3</v>
      </c>
      <c r="H3" s="34" t="s">
        <v>4</v>
      </c>
      <c r="I3" s="35" t="s">
        <v>111</v>
      </c>
      <c r="J3" s="36" t="s">
        <v>112</v>
      </c>
      <c r="K3" s="34" t="s">
        <v>12</v>
      </c>
      <c r="L3" s="34" t="s">
        <v>13</v>
      </c>
      <c r="M3" s="36" t="s">
        <v>96</v>
      </c>
      <c r="N3" s="35" t="s">
        <v>14</v>
      </c>
      <c r="O3" s="37" t="s">
        <v>5</v>
      </c>
      <c r="Q3" s="19"/>
      <c r="S3" s="7"/>
      <c r="U3" s="7"/>
    </row>
    <row r="4" spans="1:23" x14ac:dyDescent="0.25">
      <c r="A4" s="39" t="s">
        <v>104</v>
      </c>
      <c r="B4" s="8" t="s">
        <v>105</v>
      </c>
      <c r="C4" s="9" t="s">
        <v>58</v>
      </c>
      <c r="D4" s="49" t="s">
        <v>94</v>
      </c>
      <c r="E4" s="10">
        <v>1</v>
      </c>
      <c r="F4" s="12">
        <v>58.53</v>
      </c>
      <c r="G4" s="12">
        <v>60</v>
      </c>
      <c r="H4" s="12">
        <v>58</v>
      </c>
      <c r="I4" s="13">
        <v>734.99999999999943</v>
      </c>
      <c r="J4" s="11">
        <v>0.29399999999999998</v>
      </c>
      <c r="K4" s="12">
        <v>2.5115325474115817E-2</v>
      </c>
      <c r="L4" s="12">
        <v>2.7735849056603694</v>
      </c>
      <c r="M4" s="11">
        <v>0.10600000000000023</v>
      </c>
      <c r="N4" s="13">
        <v>3235</v>
      </c>
      <c r="O4" s="27"/>
    </row>
    <row r="5" spans="1:23" x14ac:dyDescent="0.25">
      <c r="A5" s="39" t="s">
        <v>104</v>
      </c>
      <c r="B5" s="8" t="s">
        <v>105</v>
      </c>
      <c r="C5" s="9" t="s">
        <v>58</v>
      </c>
      <c r="D5" s="49" t="s">
        <v>93</v>
      </c>
      <c r="E5" s="10">
        <v>1</v>
      </c>
      <c r="F5" s="12">
        <v>58.53</v>
      </c>
      <c r="G5" s="12">
        <v>60</v>
      </c>
      <c r="H5" s="12">
        <v>60</v>
      </c>
      <c r="I5" s="13">
        <v>-734.99999999999943</v>
      </c>
      <c r="J5" s="11">
        <v>-0.22720247295208656</v>
      </c>
      <c r="K5" s="12">
        <v>-2.5115325474115817E-2</v>
      </c>
      <c r="L5" s="15">
        <v>-1</v>
      </c>
      <c r="M5" s="11">
        <v>0.22720247295208637</v>
      </c>
      <c r="N5" s="13">
        <v>2500</v>
      </c>
      <c r="O5" s="27"/>
    </row>
    <row r="6" spans="1:23" x14ac:dyDescent="0.25">
      <c r="A6" s="39" t="s">
        <v>104</v>
      </c>
      <c r="B6" s="8" t="s">
        <v>105</v>
      </c>
      <c r="C6" s="9" t="s">
        <v>58</v>
      </c>
      <c r="D6" s="49" t="s">
        <v>93</v>
      </c>
      <c r="E6" s="10">
        <v>1</v>
      </c>
      <c r="F6" s="12">
        <v>58.53</v>
      </c>
      <c r="G6" s="12">
        <v>60</v>
      </c>
      <c r="H6" s="12">
        <v>60</v>
      </c>
      <c r="I6" s="13">
        <v>-734.99999999999943</v>
      </c>
      <c r="J6" s="11">
        <v>-0.29399999999999998</v>
      </c>
      <c r="K6" s="12">
        <v>-2.5115325474115817E-2</v>
      </c>
      <c r="L6" s="15">
        <v>-1</v>
      </c>
      <c r="M6" s="11">
        <v>0.29399999999999976</v>
      </c>
      <c r="N6" s="13">
        <v>1765</v>
      </c>
      <c r="O6" s="27"/>
    </row>
    <row r="7" spans="1:23" x14ac:dyDescent="0.25">
      <c r="A7" s="39" t="s">
        <v>104</v>
      </c>
      <c r="B7" s="8" t="s">
        <v>105</v>
      </c>
      <c r="C7" s="9" t="s">
        <v>58</v>
      </c>
      <c r="D7" s="49" t="s">
        <v>93</v>
      </c>
      <c r="E7" s="10">
        <v>1</v>
      </c>
      <c r="F7" s="12">
        <v>58.53</v>
      </c>
      <c r="G7" s="12">
        <v>60</v>
      </c>
      <c r="H7" s="12">
        <v>60</v>
      </c>
      <c r="I7" s="13">
        <v>-734.99999999999943</v>
      </c>
      <c r="J7" s="11">
        <v>-0.41643059490084988</v>
      </c>
      <c r="K7" s="12">
        <v>-2.5115325474115817E-2</v>
      </c>
      <c r="L7" s="15">
        <v>-1</v>
      </c>
      <c r="M7" s="11">
        <v>0.41643059490084955</v>
      </c>
      <c r="N7" s="13">
        <v>1030</v>
      </c>
      <c r="O7" s="27"/>
    </row>
    <row r="8" spans="1:23" x14ac:dyDescent="0.25">
      <c r="A8" s="39" t="s">
        <v>104</v>
      </c>
      <c r="B8" s="8" t="s">
        <v>105</v>
      </c>
      <c r="C8" s="9" t="s">
        <v>58</v>
      </c>
      <c r="D8" s="49" t="s">
        <v>93</v>
      </c>
      <c r="E8" s="10">
        <v>1</v>
      </c>
      <c r="F8" s="12">
        <v>58.53</v>
      </c>
      <c r="G8" s="12">
        <v>60</v>
      </c>
      <c r="H8" s="12">
        <v>60</v>
      </c>
      <c r="I8" s="51">
        <v>-734.99999999999943</v>
      </c>
      <c r="J8" s="11">
        <v>-0.71359223300970875</v>
      </c>
      <c r="K8" s="12">
        <v>-2.5115325474115817E-2</v>
      </c>
      <c r="L8" s="15">
        <v>-1</v>
      </c>
      <c r="M8" s="11">
        <v>0.7135922330097082</v>
      </c>
      <c r="N8" s="13">
        <v>295</v>
      </c>
      <c r="O8" s="27"/>
    </row>
    <row r="9" spans="1:23" x14ac:dyDescent="0.25">
      <c r="A9" s="39" t="s">
        <v>104</v>
      </c>
      <c r="B9" s="8" t="s">
        <v>105</v>
      </c>
      <c r="C9" s="9" t="s">
        <v>58</v>
      </c>
      <c r="D9" s="49" t="s">
        <v>93</v>
      </c>
      <c r="E9" s="10">
        <v>1</v>
      </c>
      <c r="F9" s="12">
        <v>58.53</v>
      </c>
      <c r="G9" s="12">
        <v>60</v>
      </c>
      <c r="H9" s="12">
        <v>60</v>
      </c>
      <c r="I9" s="13">
        <v>-734.99999999999943</v>
      </c>
      <c r="J9" s="11"/>
      <c r="K9" s="12"/>
      <c r="L9" s="12"/>
      <c r="M9" s="11"/>
      <c r="N9" s="13">
        <v>0</v>
      </c>
      <c r="O9" s="27" t="s">
        <v>115</v>
      </c>
    </row>
    <row r="10" spans="1:23" x14ac:dyDescent="0.25">
      <c r="A10" s="39" t="s">
        <v>104</v>
      </c>
      <c r="B10" s="8" t="s">
        <v>105</v>
      </c>
      <c r="C10" s="9" t="s">
        <v>58</v>
      </c>
      <c r="D10" s="49" t="s">
        <v>93</v>
      </c>
      <c r="E10" s="10">
        <v>1</v>
      </c>
      <c r="F10" s="12">
        <v>58.83</v>
      </c>
      <c r="G10" s="12">
        <v>60</v>
      </c>
      <c r="H10" s="12">
        <v>60</v>
      </c>
      <c r="I10" s="13">
        <v>-585.00000000000091</v>
      </c>
      <c r="J10" s="11"/>
      <c r="K10" s="12"/>
      <c r="L10" s="12"/>
      <c r="M10" s="11"/>
      <c r="N10" s="13">
        <v>1915</v>
      </c>
      <c r="O10" s="50"/>
    </row>
    <row r="11" spans="1:23" x14ac:dyDescent="0.25">
      <c r="A11" s="39" t="s">
        <v>104</v>
      </c>
      <c r="B11" s="8" t="s">
        <v>105</v>
      </c>
      <c r="C11" s="9" t="s">
        <v>58</v>
      </c>
      <c r="D11" s="49" t="s">
        <v>93</v>
      </c>
      <c r="E11" s="10">
        <v>1</v>
      </c>
      <c r="F11" s="12">
        <v>58.83</v>
      </c>
      <c r="G11" s="12">
        <v>60</v>
      </c>
      <c r="H11" s="12">
        <v>60</v>
      </c>
      <c r="I11" s="13">
        <v>-585.00000000000091</v>
      </c>
      <c r="J11" s="11">
        <v>-0.30548302872062666</v>
      </c>
      <c r="K11" s="12">
        <v>-1.9887812340642561E-2</v>
      </c>
      <c r="L11" s="12">
        <v>-1</v>
      </c>
      <c r="M11" s="11">
        <v>0.3054830287206271</v>
      </c>
      <c r="N11" s="13">
        <v>1330</v>
      </c>
      <c r="O11" s="50"/>
    </row>
    <row r="12" spans="1:23" x14ac:dyDescent="0.25">
      <c r="A12" s="39" t="s">
        <v>104</v>
      </c>
      <c r="B12" s="8" t="s">
        <v>105</v>
      </c>
      <c r="C12" s="9" t="s">
        <v>58</v>
      </c>
      <c r="D12" s="9" t="s">
        <v>94</v>
      </c>
      <c r="E12" s="10">
        <v>1</v>
      </c>
      <c r="F12" s="12">
        <v>58.83</v>
      </c>
      <c r="G12" s="12">
        <v>60</v>
      </c>
      <c r="H12" s="12">
        <v>60</v>
      </c>
      <c r="I12" s="13">
        <v>585.00000000000091</v>
      </c>
      <c r="J12" s="11">
        <v>0.43984962406015038</v>
      </c>
      <c r="K12" s="12">
        <v>1.9887812340642561E-2</v>
      </c>
      <c r="L12" s="15">
        <v>1.1700000000000017</v>
      </c>
      <c r="M12" s="11" t="s">
        <v>118</v>
      </c>
      <c r="N12" s="13">
        <v>1915</v>
      </c>
      <c r="O12" s="50"/>
    </row>
    <row r="13" spans="1:23" x14ac:dyDescent="0.25">
      <c r="A13" s="39" t="s">
        <v>104</v>
      </c>
      <c r="B13" s="8" t="s">
        <v>105</v>
      </c>
      <c r="C13" s="9" t="s">
        <v>58</v>
      </c>
      <c r="D13" s="9" t="s">
        <v>94</v>
      </c>
      <c r="E13" s="10">
        <v>1</v>
      </c>
      <c r="F13" s="12">
        <v>58.83</v>
      </c>
      <c r="G13" s="12">
        <v>60</v>
      </c>
      <c r="H13" s="12">
        <v>60</v>
      </c>
      <c r="I13" s="13">
        <v>585.00000000000091</v>
      </c>
      <c r="J13" s="11">
        <v>0.30548302872062666</v>
      </c>
      <c r="K13" s="12">
        <v>1.9887812340642561E-2</v>
      </c>
      <c r="L13" s="15">
        <v>1.1700000000000017</v>
      </c>
      <c r="M13" s="11" t="s">
        <v>118</v>
      </c>
      <c r="N13" s="13">
        <v>2500</v>
      </c>
      <c r="O13" s="27"/>
    </row>
    <row r="14" spans="1:23" x14ac:dyDescent="0.25">
      <c r="A14" s="39" t="s">
        <v>104</v>
      </c>
      <c r="B14" s="8" t="s">
        <v>105</v>
      </c>
      <c r="C14" s="9" t="s">
        <v>58</v>
      </c>
      <c r="D14" s="9" t="s">
        <v>94</v>
      </c>
      <c r="E14" s="10">
        <v>1</v>
      </c>
      <c r="F14" s="12">
        <v>58.83</v>
      </c>
      <c r="G14" s="12">
        <v>60</v>
      </c>
      <c r="H14" s="12">
        <v>60</v>
      </c>
      <c r="I14" s="13">
        <v>585.00000000000091</v>
      </c>
      <c r="J14" s="11">
        <v>0.23400000000000001</v>
      </c>
      <c r="K14" s="12">
        <v>1.9887812340642561E-2</v>
      </c>
      <c r="L14" s="15">
        <v>1.1700000000000017</v>
      </c>
      <c r="M14" s="11" t="s">
        <v>118</v>
      </c>
      <c r="N14" s="13">
        <v>3085</v>
      </c>
      <c r="O14" s="27"/>
    </row>
    <row r="15" spans="1:23" x14ac:dyDescent="0.25">
      <c r="A15" s="39" t="s">
        <v>104</v>
      </c>
      <c r="B15" s="8" t="s">
        <v>105</v>
      </c>
      <c r="C15" s="9" t="s">
        <v>58</v>
      </c>
      <c r="D15" s="9" t="s">
        <v>93</v>
      </c>
      <c r="E15" s="10">
        <v>1</v>
      </c>
      <c r="F15" s="12">
        <v>58.83</v>
      </c>
      <c r="G15" s="12">
        <v>62</v>
      </c>
      <c r="H15" s="12">
        <v>60</v>
      </c>
      <c r="I15" s="13">
        <v>-1585.0000000000009</v>
      </c>
      <c r="J15" s="11">
        <v>-0.51377633711507298</v>
      </c>
      <c r="K15" s="12">
        <v>-5.388407275199731E-2</v>
      </c>
      <c r="L15" s="12">
        <v>-2.7094017094017069</v>
      </c>
      <c r="M15" s="11">
        <v>0.18962722852512184</v>
      </c>
      <c r="N15" s="13">
        <v>1500</v>
      </c>
      <c r="O15" s="27"/>
    </row>
    <row r="16" spans="1:23" x14ac:dyDescent="0.25">
      <c r="A16" s="39" t="s">
        <v>104</v>
      </c>
      <c r="B16" s="8" t="s">
        <v>105</v>
      </c>
      <c r="C16" s="9" t="s">
        <v>58</v>
      </c>
      <c r="D16" s="9" t="s">
        <v>93</v>
      </c>
      <c r="E16" s="10">
        <v>1</v>
      </c>
      <c r="F16" s="12">
        <v>58.83</v>
      </c>
      <c r="G16" s="12">
        <v>62</v>
      </c>
      <c r="H16" s="12">
        <v>60</v>
      </c>
      <c r="I16" s="13">
        <v>-1585.0000000000009</v>
      </c>
      <c r="J16" s="11">
        <v>-1.0566666666666666</v>
      </c>
      <c r="K16" s="12">
        <v>-5.388407275199731E-2</v>
      </c>
      <c r="L16" s="12">
        <v>-2.7094017094017069</v>
      </c>
      <c r="M16" s="11">
        <v>0.39000000000000062</v>
      </c>
      <c r="N16" s="13">
        <v>0</v>
      </c>
      <c r="O16" s="27" t="s">
        <v>119</v>
      </c>
    </row>
    <row r="17" spans="1:15" x14ac:dyDescent="0.25">
      <c r="A17" s="39" t="s">
        <v>104</v>
      </c>
      <c r="B17" s="8" t="s">
        <v>105</v>
      </c>
      <c r="C17" s="9" t="s">
        <v>58</v>
      </c>
      <c r="D17" s="9" t="s">
        <v>94</v>
      </c>
      <c r="E17" s="10">
        <v>1</v>
      </c>
      <c r="F17" s="12">
        <v>1</v>
      </c>
      <c r="G17" s="12">
        <v>6</v>
      </c>
      <c r="H17" s="12">
        <v>1</v>
      </c>
      <c r="I17" s="13">
        <v>2500</v>
      </c>
      <c r="J17" s="11">
        <v>1</v>
      </c>
      <c r="K17" s="12">
        <v>5</v>
      </c>
      <c r="L17" s="15">
        <v>0</v>
      </c>
      <c r="M17" s="11">
        <v>0</v>
      </c>
      <c r="N17" s="13">
        <v>5000</v>
      </c>
      <c r="O17" s="27"/>
    </row>
    <row r="18" spans="1:15" x14ac:dyDescent="0.25">
      <c r="A18" s="39"/>
      <c r="B18" s="8"/>
      <c r="C18" s="9"/>
      <c r="D18" s="9"/>
      <c r="E18" s="10"/>
      <c r="F18" s="12"/>
      <c r="G18" s="12"/>
      <c r="H18" s="12"/>
      <c r="I18" s="13"/>
      <c r="J18" s="11"/>
      <c r="K18" s="12"/>
      <c r="L18" s="15"/>
      <c r="M18" s="11"/>
      <c r="N18" s="13"/>
      <c r="O18" s="27"/>
    </row>
    <row r="19" spans="1:15" x14ac:dyDescent="0.25">
      <c r="A19" s="39"/>
      <c r="B19" s="8"/>
      <c r="C19" s="9"/>
      <c r="D19" s="9"/>
      <c r="E19" s="10"/>
      <c r="F19" s="12"/>
      <c r="G19" s="12"/>
      <c r="H19" s="12"/>
      <c r="I19" s="13"/>
      <c r="J19" s="11"/>
      <c r="K19" s="12"/>
      <c r="L19" s="15"/>
      <c r="M19" s="11"/>
      <c r="N19" s="13"/>
      <c r="O19" s="27"/>
    </row>
    <row r="20" spans="1:15" x14ac:dyDescent="0.25">
      <c r="A20" s="39"/>
      <c r="B20" s="8"/>
      <c r="C20" s="9"/>
      <c r="D20" s="9"/>
      <c r="E20" s="10"/>
      <c r="F20" s="12"/>
      <c r="G20" s="12"/>
      <c r="H20" s="12"/>
      <c r="I20" s="13"/>
      <c r="J20" s="11"/>
      <c r="K20" s="12"/>
      <c r="L20" s="15"/>
      <c r="M20" s="11"/>
      <c r="N20" s="13"/>
      <c r="O20" s="27"/>
    </row>
    <row r="21" spans="1:15" x14ac:dyDescent="0.25">
      <c r="A21" s="39"/>
      <c r="B21" s="8"/>
      <c r="C21" s="9"/>
      <c r="D21" s="9"/>
      <c r="E21" s="10"/>
      <c r="F21" s="12"/>
      <c r="G21" s="12"/>
      <c r="H21" s="12"/>
      <c r="I21" s="13"/>
      <c r="J21" s="11"/>
      <c r="K21" s="12"/>
      <c r="L21" s="15"/>
      <c r="M21" s="11"/>
      <c r="N21" s="13"/>
      <c r="O21" s="27"/>
    </row>
    <row r="22" spans="1:15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27"/>
    </row>
    <row r="23" spans="1:15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27"/>
    </row>
    <row r="24" spans="1:15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27"/>
    </row>
    <row r="25" spans="1:15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27"/>
    </row>
    <row r="26" spans="1:15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27"/>
    </row>
    <row r="27" spans="1:15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27"/>
    </row>
    <row r="28" spans="1:15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27"/>
    </row>
    <row r="29" spans="1:15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27"/>
    </row>
    <row r="30" spans="1:15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27"/>
    </row>
    <row r="31" spans="1:15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27"/>
    </row>
    <row r="32" spans="1:15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27"/>
    </row>
    <row r="33" spans="1:15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27"/>
    </row>
    <row r="34" spans="1:15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27"/>
    </row>
    <row r="35" spans="1:15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27"/>
    </row>
    <row r="36" spans="1:15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27"/>
    </row>
    <row r="37" spans="1:15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27"/>
    </row>
    <row r="38" spans="1:15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27"/>
    </row>
    <row r="39" spans="1:15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27"/>
    </row>
    <row r="40" spans="1:15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27"/>
    </row>
    <row r="41" spans="1:15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27"/>
    </row>
    <row r="42" spans="1:15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27"/>
    </row>
    <row r="43" spans="1:15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27"/>
    </row>
    <row r="44" spans="1:15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27"/>
    </row>
    <row r="45" spans="1:15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27"/>
    </row>
    <row r="46" spans="1:15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27"/>
    </row>
    <row r="47" spans="1:15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27"/>
    </row>
    <row r="48" spans="1:15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27"/>
    </row>
    <row r="49" spans="1:15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27"/>
    </row>
    <row r="50" spans="1:15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27"/>
    </row>
    <row r="51" spans="1:15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27"/>
    </row>
    <row r="52" spans="1:15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27"/>
    </row>
    <row r="53" spans="1:15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27"/>
    </row>
    <row r="54" spans="1:15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27"/>
    </row>
    <row r="55" spans="1:15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27"/>
    </row>
    <row r="56" spans="1:15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27"/>
    </row>
    <row r="57" spans="1:15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27"/>
    </row>
    <row r="58" spans="1:15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27"/>
    </row>
    <row r="59" spans="1:15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27"/>
    </row>
    <row r="60" spans="1:15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27"/>
    </row>
    <row r="61" spans="1:15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27"/>
    </row>
    <row r="62" spans="1:15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27"/>
    </row>
    <row r="63" spans="1:15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27"/>
    </row>
    <row r="64" spans="1:15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27"/>
    </row>
    <row r="65" spans="1:15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27"/>
    </row>
    <row r="66" spans="1:15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27"/>
    </row>
    <row r="67" spans="1:15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27"/>
    </row>
    <row r="68" spans="1:15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27"/>
    </row>
    <row r="69" spans="1:15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27"/>
    </row>
    <row r="70" spans="1:15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27"/>
    </row>
    <row r="71" spans="1:15" x14ac:dyDescent="0.2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27"/>
    </row>
    <row r="72" spans="1:15" x14ac:dyDescent="0.2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27"/>
    </row>
    <row r="73" spans="1:15" x14ac:dyDescent="0.2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27"/>
    </row>
    <row r="74" spans="1:15" x14ac:dyDescent="0.2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27"/>
    </row>
    <row r="75" spans="1:15" x14ac:dyDescent="0.2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27"/>
    </row>
    <row r="76" spans="1:15" x14ac:dyDescent="0.2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27"/>
    </row>
    <row r="77" spans="1:15" x14ac:dyDescent="0.2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27"/>
    </row>
    <row r="78" spans="1:15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27"/>
    </row>
    <row r="79" spans="1:15" x14ac:dyDescent="0.2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27"/>
    </row>
    <row r="80" spans="1:15" x14ac:dyDescent="0.2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27"/>
    </row>
    <row r="81" spans="1:15" x14ac:dyDescent="0.2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27"/>
    </row>
    <row r="82" spans="1:15" x14ac:dyDescent="0.25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27"/>
    </row>
    <row r="83" spans="1:15" x14ac:dyDescent="0.25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27"/>
    </row>
    <row r="84" spans="1:15" x14ac:dyDescent="0.25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27"/>
    </row>
    <row r="85" spans="1:15" x14ac:dyDescent="0.25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27"/>
    </row>
    <row r="86" spans="1:15" x14ac:dyDescent="0.25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27"/>
    </row>
    <row r="87" spans="1:15" x14ac:dyDescent="0.25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27"/>
    </row>
    <row r="88" spans="1:15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27"/>
    </row>
    <row r="89" spans="1:15" x14ac:dyDescent="0.25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27"/>
    </row>
    <row r="90" spans="1:15" x14ac:dyDescent="0.25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27"/>
    </row>
    <row r="91" spans="1:15" x14ac:dyDescent="0.25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27"/>
    </row>
    <row r="92" spans="1:15" x14ac:dyDescent="0.25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27"/>
    </row>
    <row r="93" spans="1:15" x14ac:dyDescent="0.25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27"/>
    </row>
    <row r="94" spans="1:15" x14ac:dyDescent="0.25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27"/>
    </row>
    <row r="95" spans="1:15" x14ac:dyDescent="0.25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27"/>
    </row>
    <row r="96" spans="1:15" x14ac:dyDescent="0.25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27"/>
    </row>
    <row r="97" spans="1:15" x14ac:dyDescent="0.25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27"/>
    </row>
    <row r="98" spans="1:15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27"/>
    </row>
    <row r="99" spans="1:15" x14ac:dyDescent="0.25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27"/>
    </row>
    <row r="100" spans="1:15" x14ac:dyDescent="0.25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27"/>
    </row>
    <row r="101" spans="1:15" x14ac:dyDescent="0.25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27"/>
    </row>
    <row r="102" spans="1:15" x14ac:dyDescent="0.25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27"/>
    </row>
    <row r="103" spans="1:15" x14ac:dyDescent="0.25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27"/>
    </row>
    <row r="104" spans="1:15" x14ac:dyDescent="0.25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27"/>
    </row>
    <row r="105" spans="1:15" x14ac:dyDescent="0.25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27"/>
    </row>
    <row r="106" spans="1:15" x14ac:dyDescent="0.25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27"/>
    </row>
    <row r="107" spans="1:15" x14ac:dyDescent="0.25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27"/>
    </row>
    <row r="108" spans="1:15" x14ac:dyDescent="0.25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27"/>
    </row>
    <row r="109" spans="1:15" x14ac:dyDescent="0.25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27"/>
    </row>
    <row r="110" spans="1:15" x14ac:dyDescent="0.25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27"/>
    </row>
    <row r="111" spans="1:15" x14ac:dyDescent="0.25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27"/>
    </row>
    <row r="112" spans="1:15" x14ac:dyDescent="0.25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27"/>
    </row>
    <row r="113" spans="1:15" x14ac:dyDescent="0.25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27"/>
    </row>
    <row r="114" spans="1:15" x14ac:dyDescent="0.25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27"/>
    </row>
    <row r="115" spans="1:15" x14ac:dyDescent="0.25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27"/>
    </row>
    <row r="116" spans="1:15" x14ac:dyDescent="0.25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27"/>
    </row>
    <row r="117" spans="1:15" x14ac:dyDescent="0.25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27"/>
    </row>
    <row r="118" spans="1:15" x14ac:dyDescent="0.25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27"/>
    </row>
    <row r="119" spans="1:15" x14ac:dyDescent="0.25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27"/>
    </row>
    <row r="120" spans="1:15" x14ac:dyDescent="0.25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27"/>
    </row>
    <row r="121" spans="1:15" x14ac:dyDescent="0.25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27"/>
    </row>
    <row r="122" spans="1:15" x14ac:dyDescent="0.25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27"/>
    </row>
    <row r="123" spans="1:15" x14ac:dyDescent="0.25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27"/>
    </row>
    <row r="124" spans="1:15" x14ac:dyDescent="0.25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27"/>
    </row>
    <row r="125" spans="1:15" x14ac:dyDescent="0.25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27"/>
    </row>
    <row r="126" spans="1:15" x14ac:dyDescent="0.25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27"/>
    </row>
    <row r="127" spans="1:15" x14ac:dyDescent="0.25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27"/>
    </row>
    <row r="128" spans="1:15" x14ac:dyDescent="0.25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27"/>
    </row>
    <row r="129" spans="1:15" x14ac:dyDescent="0.25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27"/>
    </row>
    <row r="130" spans="1:15" x14ac:dyDescent="0.25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27"/>
    </row>
    <row r="131" spans="1:15" x14ac:dyDescent="0.25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27"/>
    </row>
    <row r="132" spans="1:15" x14ac:dyDescent="0.25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27"/>
    </row>
    <row r="133" spans="1:15" x14ac:dyDescent="0.25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27"/>
    </row>
    <row r="134" spans="1:15" x14ac:dyDescent="0.25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27"/>
    </row>
    <row r="135" spans="1:15" x14ac:dyDescent="0.25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27"/>
    </row>
    <row r="136" spans="1:15" x14ac:dyDescent="0.25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27"/>
    </row>
    <row r="137" spans="1:15" x14ac:dyDescent="0.25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27"/>
    </row>
    <row r="138" spans="1:15" x14ac:dyDescent="0.25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27"/>
    </row>
    <row r="139" spans="1:15" x14ac:dyDescent="0.25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27"/>
    </row>
    <row r="140" spans="1:15" x14ac:dyDescent="0.25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27"/>
    </row>
    <row r="141" spans="1:15" x14ac:dyDescent="0.25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27"/>
    </row>
    <row r="142" spans="1:15" x14ac:dyDescent="0.25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27"/>
    </row>
    <row r="143" spans="1:15" x14ac:dyDescent="0.25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27"/>
    </row>
    <row r="144" spans="1:15" x14ac:dyDescent="0.25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27"/>
    </row>
    <row r="145" spans="1:15" x14ac:dyDescent="0.25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27"/>
    </row>
    <row r="146" spans="1:15" x14ac:dyDescent="0.25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27"/>
    </row>
    <row r="147" spans="1:15" x14ac:dyDescent="0.25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27"/>
    </row>
    <row r="148" spans="1:15" x14ac:dyDescent="0.25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27"/>
    </row>
    <row r="149" spans="1:15" x14ac:dyDescent="0.25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27"/>
    </row>
    <row r="150" spans="1:15" x14ac:dyDescent="0.25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27"/>
    </row>
    <row r="151" spans="1:15" x14ac:dyDescent="0.25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27"/>
    </row>
    <row r="152" spans="1:15" x14ac:dyDescent="0.25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27"/>
    </row>
    <row r="153" spans="1:15" x14ac:dyDescent="0.25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27"/>
    </row>
    <row r="154" spans="1:15" x14ac:dyDescent="0.25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27"/>
    </row>
    <row r="155" spans="1:15" x14ac:dyDescent="0.25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27"/>
    </row>
    <row r="156" spans="1:15" x14ac:dyDescent="0.25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27"/>
    </row>
    <row r="157" spans="1:15" x14ac:dyDescent="0.25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27"/>
    </row>
    <row r="158" spans="1:15" x14ac:dyDescent="0.25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27"/>
    </row>
    <row r="159" spans="1:15" x14ac:dyDescent="0.25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27"/>
    </row>
    <row r="160" spans="1:15" x14ac:dyDescent="0.25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27"/>
    </row>
    <row r="161" spans="1:15" x14ac:dyDescent="0.25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27"/>
    </row>
    <row r="162" spans="1:15" x14ac:dyDescent="0.25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27"/>
    </row>
    <row r="163" spans="1:15" x14ac:dyDescent="0.25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27"/>
    </row>
    <row r="164" spans="1:15" x14ac:dyDescent="0.25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27"/>
    </row>
    <row r="165" spans="1:15" x14ac:dyDescent="0.25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27"/>
    </row>
    <row r="166" spans="1:15" x14ac:dyDescent="0.25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27"/>
    </row>
    <row r="167" spans="1:15" x14ac:dyDescent="0.25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27"/>
    </row>
    <row r="168" spans="1:15" x14ac:dyDescent="0.25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27"/>
    </row>
    <row r="169" spans="1:15" x14ac:dyDescent="0.25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27"/>
    </row>
    <row r="170" spans="1:15" x14ac:dyDescent="0.25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27"/>
    </row>
    <row r="171" spans="1:15" x14ac:dyDescent="0.25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27"/>
    </row>
    <row r="172" spans="1:15" x14ac:dyDescent="0.25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27"/>
    </row>
    <row r="173" spans="1:15" x14ac:dyDescent="0.25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27"/>
    </row>
    <row r="174" spans="1:15" x14ac:dyDescent="0.25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27"/>
    </row>
    <row r="175" spans="1:15" x14ac:dyDescent="0.25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27"/>
    </row>
    <row r="176" spans="1:15" x14ac:dyDescent="0.25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27"/>
    </row>
    <row r="177" spans="1:15" x14ac:dyDescent="0.25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27"/>
    </row>
    <row r="178" spans="1:15" x14ac:dyDescent="0.25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27"/>
    </row>
    <row r="179" spans="1:15" x14ac:dyDescent="0.25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27"/>
    </row>
    <row r="180" spans="1:15" x14ac:dyDescent="0.25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27"/>
    </row>
    <row r="181" spans="1:15" x14ac:dyDescent="0.25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27"/>
    </row>
    <row r="182" spans="1:15" x14ac:dyDescent="0.25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27"/>
    </row>
    <row r="183" spans="1:15" x14ac:dyDescent="0.25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27"/>
    </row>
    <row r="184" spans="1:15" x14ac:dyDescent="0.25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27"/>
    </row>
    <row r="185" spans="1:15" x14ac:dyDescent="0.25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27"/>
    </row>
    <row r="186" spans="1:15" x14ac:dyDescent="0.25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27"/>
    </row>
    <row r="187" spans="1:15" x14ac:dyDescent="0.25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27"/>
    </row>
    <row r="188" spans="1:15" x14ac:dyDescent="0.25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27"/>
    </row>
    <row r="189" spans="1:15" x14ac:dyDescent="0.25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27"/>
    </row>
    <row r="190" spans="1:15" x14ac:dyDescent="0.25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27"/>
    </row>
    <row r="191" spans="1:15" x14ac:dyDescent="0.25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27"/>
    </row>
    <row r="192" spans="1:15" x14ac:dyDescent="0.25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27"/>
    </row>
    <row r="193" spans="1:15" x14ac:dyDescent="0.2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27"/>
    </row>
    <row r="194" spans="1:15" x14ac:dyDescent="0.25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27"/>
    </row>
    <row r="195" spans="1:15" x14ac:dyDescent="0.25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27"/>
    </row>
    <row r="196" spans="1:15" x14ac:dyDescent="0.25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27"/>
    </row>
    <row r="197" spans="1:15" x14ac:dyDescent="0.25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27"/>
    </row>
    <row r="198" spans="1:15" x14ac:dyDescent="0.25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27"/>
    </row>
    <row r="199" spans="1:15" x14ac:dyDescent="0.25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27"/>
    </row>
    <row r="200" spans="1:15" x14ac:dyDescent="0.25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27"/>
    </row>
    <row r="201" spans="1:15" x14ac:dyDescent="0.25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27"/>
    </row>
    <row r="202" spans="1:15" x14ac:dyDescent="0.25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27"/>
    </row>
    <row r="203" spans="1:15" x14ac:dyDescent="0.25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27"/>
    </row>
    <row r="204" spans="1:15" x14ac:dyDescent="0.25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27"/>
    </row>
    <row r="205" spans="1:15" x14ac:dyDescent="0.25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27"/>
    </row>
    <row r="206" spans="1:15" x14ac:dyDescent="0.25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27"/>
    </row>
    <row r="207" spans="1:15" x14ac:dyDescent="0.25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27"/>
    </row>
    <row r="208" spans="1:15" x14ac:dyDescent="0.25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27"/>
    </row>
    <row r="209" spans="1:15" x14ac:dyDescent="0.25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27"/>
    </row>
    <row r="210" spans="1:15" x14ac:dyDescent="0.25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27"/>
    </row>
    <row r="211" spans="1:15" x14ac:dyDescent="0.25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27"/>
    </row>
    <row r="212" spans="1:15" x14ac:dyDescent="0.25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27"/>
    </row>
    <row r="213" spans="1:15" x14ac:dyDescent="0.25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27"/>
    </row>
    <row r="214" spans="1:15" x14ac:dyDescent="0.25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27"/>
    </row>
    <row r="215" spans="1:15" x14ac:dyDescent="0.25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27"/>
    </row>
    <row r="216" spans="1:15" x14ac:dyDescent="0.25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27"/>
    </row>
    <row r="217" spans="1:15" x14ac:dyDescent="0.25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27"/>
    </row>
    <row r="218" spans="1:15" x14ac:dyDescent="0.25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27"/>
    </row>
    <row r="219" spans="1:15" x14ac:dyDescent="0.25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27"/>
    </row>
    <row r="220" spans="1:15" x14ac:dyDescent="0.25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27"/>
    </row>
    <row r="221" spans="1:15" x14ac:dyDescent="0.25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27"/>
    </row>
    <row r="222" spans="1:15" x14ac:dyDescent="0.25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27"/>
    </row>
    <row r="223" spans="1:15" x14ac:dyDescent="0.25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27"/>
    </row>
    <row r="224" spans="1:15" x14ac:dyDescent="0.25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27"/>
    </row>
    <row r="225" spans="1:15" x14ac:dyDescent="0.25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27"/>
    </row>
    <row r="226" spans="1:15" x14ac:dyDescent="0.25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27"/>
    </row>
    <row r="227" spans="1:15" x14ac:dyDescent="0.25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27"/>
    </row>
    <row r="228" spans="1:15" x14ac:dyDescent="0.25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27"/>
    </row>
    <row r="229" spans="1:15" x14ac:dyDescent="0.25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27"/>
    </row>
    <row r="230" spans="1:15" x14ac:dyDescent="0.25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27"/>
    </row>
    <row r="231" spans="1:15" x14ac:dyDescent="0.25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27"/>
    </row>
    <row r="232" spans="1:15" x14ac:dyDescent="0.25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27"/>
    </row>
    <row r="233" spans="1:15" x14ac:dyDescent="0.25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27"/>
    </row>
    <row r="234" spans="1:15" x14ac:dyDescent="0.25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27"/>
    </row>
    <row r="235" spans="1:15" x14ac:dyDescent="0.25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27"/>
    </row>
    <row r="236" spans="1:15" x14ac:dyDescent="0.25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27"/>
    </row>
    <row r="237" spans="1:15" x14ac:dyDescent="0.25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27"/>
    </row>
    <row r="238" spans="1:15" x14ac:dyDescent="0.25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27"/>
    </row>
    <row r="239" spans="1:15" x14ac:dyDescent="0.25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27"/>
    </row>
    <row r="240" spans="1:15" x14ac:dyDescent="0.25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27"/>
    </row>
    <row r="241" spans="1:15" x14ac:dyDescent="0.25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27"/>
    </row>
    <row r="242" spans="1:15" x14ac:dyDescent="0.25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27"/>
    </row>
    <row r="243" spans="1:15" x14ac:dyDescent="0.25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27"/>
    </row>
    <row r="244" spans="1:15" x14ac:dyDescent="0.25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27"/>
    </row>
    <row r="245" spans="1:15" x14ac:dyDescent="0.25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27"/>
    </row>
    <row r="246" spans="1:15" x14ac:dyDescent="0.25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27"/>
    </row>
    <row r="247" spans="1:15" x14ac:dyDescent="0.25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27"/>
    </row>
    <row r="248" spans="1:15" x14ac:dyDescent="0.25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27"/>
    </row>
    <row r="249" spans="1:15" x14ac:dyDescent="0.25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27"/>
    </row>
    <row r="250" spans="1:15" x14ac:dyDescent="0.25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27"/>
    </row>
    <row r="251" spans="1:15" x14ac:dyDescent="0.25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27"/>
    </row>
    <row r="252" spans="1:15" x14ac:dyDescent="0.25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27"/>
    </row>
    <row r="253" spans="1:15" x14ac:dyDescent="0.25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27"/>
    </row>
    <row r="254" spans="1:15" x14ac:dyDescent="0.25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27"/>
    </row>
    <row r="255" spans="1:15" x14ac:dyDescent="0.25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27"/>
    </row>
    <row r="256" spans="1:15" x14ac:dyDescent="0.25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27"/>
    </row>
    <row r="257" spans="1:15" x14ac:dyDescent="0.25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27"/>
    </row>
    <row r="258" spans="1:15" x14ac:dyDescent="0.25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27"/>
    </row>
    <row r="259" spans="1:15" x14ac:dyDescent="0.25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27"/>
    </row>
    <row r="260" spans="1:15" x14ac:dyDescent="0.25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27"/>
    </row>
    <row r="261" spans="1:15" x14ac:dyDescent="0.25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27"/>
    </row>
    <row r="262" spans="1:15" x14ac:dyDescent="0.25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27"/>
    </row>
    <row r="263" spans="1:15" x14ac:dyDescent="0.25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27"/>
    </row>
    <row r="264" spans="1:15" x14ac:dyDescent="0.25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27"/>
    </row>
    <row r="265" spans="1:15" x14ac:dyDescent="0.25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27"/>
    </row>
    <row r="266" spans="1:15" x14ac:dyDescent="0.25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27"/>
    </row>
    <row r="267" spans="1:15" x14ac:dyDescent="0.25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27"/>
    </row>
    <row r="268" spans="1:15" x14ac:dyDescent="0.25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27"/>
    </row>
    <row r="269" spans="1:15" x14ac:dyDescent="0.25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27"/>
    </row>
    <row r="270" spans="1:15" x14ac:dyDescent="0.25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27"/>
    </row>
    <row r="271" spans="1:15" x14ac:dyDescent="0.25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27"/>
    </row>
    <row r="272" spans="1:15" x14ac:dyDescent="0.25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27"/>
    </row>
    <row r="273" spans="1:15" x14ac:dyDescent="0.25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27"/>
    </row>
    <row r="274" spans="1:15" x14ac:dyDescent="0.25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27"/>
    </row>
    <row r="275" spans="1:15" x14ac:dyDescent="0.25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27"/>
    </row>
    <row r="276" spans="1:15" x14ac:dyDescent="0.25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27"/>
    </row>
    <row r="277" spans="1:15" x14ac:dyDescent="0.25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27"/>
    </row>
    <row r="278" spans="1:15" x14ac:dyDescent="0.25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27"/>
    </row>
    <row r="279" spans="1:15" x14ac:dyDescent="0.25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27"/>
    </row>
    <row r="280" spans="1:15" x14ac:dyDescent="0.25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27"/>
    </row>
    <row r="281" spans="1:15" x14ac:dyDescent="0.25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27"/>
    </row>
    <row r="282" spans="1:15" x14ac:dyDescent="0.25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27"/>
    </row>
    <row r="283" spans="1:15" x14ac:dyDescent="0.25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27"/>
    </row>
    <row r="284" spans="1:15" x14ac:dyDescent="0.25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27"/>
    </row>
    <row r="285" spans="1:15" x14ac:dyDescent="0.25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27"/>
    </row>
    <row r="286" spans="1:15" x14ac:dyDescent="0.25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27"/>
    </row>
    <row r="287" spans="1:15" x14ac:dyDescent="0.25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27"/>
    </row>
    <row r="288" spans="1:15" x14ac:dyDescent="0.25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27"/>
    </row>
    <row r="289" spans="1:15" x14ac:dyDescent="0.25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27"/>
    </row>
    <row r="290" spans="1:15" x14ac:dyDescent="0.25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27"/>
    </row>
    <row r="291" spans="1:15" x14ac:dyDescent="0.25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27"/>
    </row>
    <row r="292" spans="1:15" x14ac:dyDescent="0.25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27"/>
    </row>
    <row r="293" spans="1:15" x14ac:dyDescent="0.25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27"/>
    </row>
    <row r="294" spans="1:15" x14ac:dyDescent="0.25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27"/>
    </row>
    <row r="295" spans="1:15" x14ac:dyDescent="0.25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27"/>
    </row>
    <row r="296" spans="1:15" x14ac:dyDescent="0.25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27"/>
    </row>
    <row r="297" spans="1:15" x14ac:dyDescent="0.25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27"/>
    </row>
    <row r="298" spans="1:15" x14ac:dyDescent="0.25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27"/>
    </row>
    <row r="299" spans="1:15" x14ac:dyDescent="0.25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27"/>
    </row>
    <row r="300" spans="1:15" x14ac:dyDescent="0.25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27"/>
    </row>
    <row r="301" spans="1:15" x14ac:dyDescent="0.25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27"/>
    </row>
    <row r="302" spans="1:15" x14ac:dyDescent="0.25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27"/>
    </row>
    <row r="303" spans="1:15" x14ac:dyDescent="0.25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27"/>
    </row>
    <row r="304" spans="1:15" x14ac:dyDescent="0.25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27"/>
    </row>
    <row r="305" spans="1:15" x14ac:dyDescent="0.25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27"/>
    </row>
    <row r="306" spans="1:15" x14ac:dyDescent="0.25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27"/>
    </row>
    <row r="307" spans="1:15" x14ac:dyDescent="0.25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27"/>
    </row>
    <row r="308" spans="1:15" x14ac:dyDescent="0.25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27"/>
    </row>
    <row r="309" spans="1:15" x14ac:dyDescent="0.25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27"/>
    </row>
    <row r="310" spans="1:15" x14ac:dyDescent="0.25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27"/>
    </row>
    <row r="311" spans="1:15" x14ac:dyDescent="0.25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27"/>
    </row>
    <row r="312" spans="1:15" x14ac:dyDescent="0.25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27"/>
    </row>
    <row r="313" spans="1:15" x14ac:dyDescent="0.25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27"/>
    </row>
    <row r="314" spans="1:15" x14ac:dyDescent="0.25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27"/>
    </row>
    <row r="315" spans="1:15" x14ac:dyDescent="0.25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27"/>
    </row>
    <row r="316" spans="1:15" x14ac:dyDescent="0.25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27"/>
    </row>
    <row r="317" spans="1:15" x14ac:dyDescent="0.25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27"/>
    </row>
    <row r="318" spans="1:15" x14ac:dyDescent="0.25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27"/>
    </row>
    <row r="319" spans="1:15" x14ac:dyDescent="0.25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27"/>
    </row>
    <row r="320" spans="1:15" x14ac:dyDescent="0.25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27"/>
    </row>
    <row r="321" spans="1:15" x14ac:dyDescent="0.25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27"/>
    </row>
    <row r="322" spans="1:15" x14ac:dyDescent="0.25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27"/>
    </row>
    <row r="323" spans="1:15" x14ac:dyDescent="0.25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27"/>
    </row>
    <row r="324" spans="1:15" x14ac:dyDescent="0.25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27"/>
    </row>
    <row r="325" spans="1:15" x14ac:dyDescent="0.25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27"/>
    </row>
    <row r="326" spans="1:15" x14ac:dyDescent="0.25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27"/>
    </row>
    <row r="327" spans="1:15" x14ac:dyDescent="0.25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27"/>
    </row>
    <row r="328" spans="1:15" x14ac:dyDescent="0.25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27"/>
    </row>
    <row r="329" spans="1:15" x14ac:dyDescent="0.25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27"/>
    </row>
    <row r="330" spans="1:15" x14ac:dyDescent="0.25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27"/>
    </row>
    <row r="331" spans="1:15" x14ac:dyDescent="0.25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27"/>
    </row>
    <row r="332" spans="1:15" x14ac:dyDescent="0.25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27"/>
    </row>
    <row r="333" spans="1:15" x14ac:dyDescent="0.25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27"/>
    </row>
    <row r="334" spans="1:15" x14ac:dyDescent="0.25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27"/>
    </row>
    <row r="335" spans="1:15" x14ac:dyDescent="0.25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27"/>
    </row>
    <row r="336" spans="1:15" x14ac:dyDescent="0.25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27"/>
    </row>
    <row r="337" spans="1:15" x14ac:dyDescent="0.25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27"/>
    </row>
    <row r="338" spans="1:15" x14ac:dyDescent="0.25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27"/>
    </row>
    <row r="339" spans="1:15" x14ac:dyDescent="0.25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27"/>
    </row>
    <row r="340" spans="1:15" x14ac:dyDescent="0.25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27"/>
    </row>
    <row r="341" spans="1:15" x14ac:dyDescent="0.25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27"/>
    </row>
    <row r="342" spans="1:15" x14ac:dyDescent="0.25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27"/>
    </row>
    <row r="343" spans="1:15" x14ac:dyDescent="0.25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27"/>
    </row>
    <row r="344" spans="1:15" x14ac:dyDescent="0.25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27"/>
    </row>
    <row r="345" spans="1:15" x14ac:dyDescent="0.25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27"/>
    </row>
    <row r="346" spans="1:15" x14ac:dyDescent="0.25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27"/>
    </row>
    <row r="347" spans="1:15" x14ac:dyDescent="0.25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27"/>
    </row>
    <row r="348" spans="1:15" x14ac:dyDescent="0.25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27"/>
    </row>
    <row r="349" spans="1:15" x14ac:dyDescent="0.25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27"/>
    </row>
    <row r="350" spans="1:15" x14ac:dyDescent="0.25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27"/>
    </row>
    <row r="351" spans="1:15" x14ac:dyDescent="0.25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27"/>
    </row>
    <row r="352" spans="1:15" x14ac:dyDescent="0.25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27"/>
    </row>
    <row r="353" spans="1:15" x14ac:dyDescent="0.25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27"/>
    </row>
    <row r="354" spans="1:15" x14ac:dyDescent="0.25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27"/>
    </row>
    <row r="355" spans="1:15" x14ac:dyDescent="0.25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27"/>
    </row>
    <row r="356" spans="1:15" x14ac:dyDescent="0.25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27"/>
    </row>
    <row r="357" spans="1:15" x14ac:dyDescent="0.25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27"/>
    </row>
    <row r="358" spans="1:15" x14ac:dyDescent="0.25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27"/>
    </row>
    <row r="359" spans="1:15" x14ac:dyDescent="0.25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27"/>
    </row>
    <row r="360" spans="1:15" x14ac:dyDescent="0.25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27"/>
    </row>
    <row r="361" spans="1:15" x14ac:dyDescent="0.25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27"/>
    </row>
    <row r="362" spans="1:15" x14ac:dyDescent="0.25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27"/>
    </row>
    <row r="363" spans="1:15" x14ac:dyDescent="0.25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27"/>
    </row>
    <row r="364" spans="1:15" x14ac:dyDescent="0.25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27"/>
    </row>
    <row r="365" spans="1:15" x14ac:dyDescent="0.25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27"/>
    </row>
    <row r="366" spans="1:15" x14ac:dyDescent="0.25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27"/>
    </row>
    <row r="367" spans="1:15" x14ac:dyDescent="0.25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27"/>
    </row>
    <row r="368" spans="1:15" x14ac:dyDescent="0.25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27"/>
    </row>
    <row r="369" spans="1:15" x14ac:dyDescent="0.25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27"/>
    </row>
    <row r="370" spans="1:15" x14ac:dyDescent="0.25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27"/>
    </row>
    <row r="371" spans="1:15" x14ac:dyDescent="0.25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27"/>
    </row>
    <row r="372" spans="1:15" x14ac:dyDescent="0.25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27"/>
    </row>
    <row r="373" spans="1:15" x14ac:dyDescent="0.25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27"/>
    </row>
    <row r="374" spans="1:15" x14ac:dyDescent="0.25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27"/>
    </row>
    <row r="375" spans="1:15" x14ac:dyDescent="0.25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27"/>
    </row>
    <row r="376" spans="1:15" x14ac:dyDescent="0.25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27"/>
    </row>
    <row r="377" spans="1:15" x14ac:dyDescent="0.25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27"/>
    </row>
    <row r="378" spans="1:15" x14ac:dyDescent="0.25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27"/>
    </row>
    <row r="379" spans="1:15" x14ac:dyDescent="0.25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27"/>
    </row>
    <row r="380" spans="1:15" x14ac:dyDescent="0.25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27"/>
    </row>
    <row r="381" spans="1:15" x14ac:dyDescent="0.25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27"/>
    </row>
    <row r="382" spans="1:15" x14ac:dyDescent="0.25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27"/>
    </row>
    <row r="383" spans="1:15" x14ac:dyDescent="0.25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27"/>
    </row>
    <row r="384" spans="1:15" x14ac:dyDescent="0.25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27"/>
    </row>
    <row r="385" spans="1:15" x14ac:dyDescent="0.25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27"/>
    </row>
    <row r="386" spans="1:15" x14ac:dyDescent="0.25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27"/>
    </row>
    <row r="387" spans="1:15" x14ac:dyDescent="0.25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27"/>
    </row>
    <row r="388" spans="1:15" x14ac:dyDescent="0.25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27"/>
    </row>
    <row r="389" spans="1:15" x14ac:dyDescent="0.25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27"/>
    </row>
    <row r="390" spans="1:15" x14ac:dyDescent="0.25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27"/>
    </row>
    <row r="391" spans="1:15" x14ac:dyDescent="0.25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27"/>
    </row>
    <row r="392" spans="1:15" x14ac:dyDescent="0.25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27"/>
    </row>
    <row r="393" spans="1:15" x14ac:dyDescent="0.25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27"/>
    </row>
    <row r="394" spans="1:15" x14ac:dyDescent="0.25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27"/>
    </row>
    <row r="395" spans="1:15" x14ac:dyDescent="0.25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27"/>
    </row>
    <row r="396" spans="1:15" x14ac:dyDescent="0.25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27"/>
    </row>
    <row r="397" spans="1:15" x14ac:dyDescent="0.25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27"/>
    </row>
    <row r="398" spans="1:15" x14ac:dyDescent="0.25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27"/>
    </row>
    <row r="399" spans="1:15" x14ac:dyDescent="0.25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27"/>
    </row>
    <row r="400" spans="1:15" x14ac:dyDescent="0.25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27"/>
    </row>
    <row r="401" spans="1:15" x14ac:dyDescent="0.25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27"/>
    </row>
    <row r="402" spans="1:15" x14ac:dyDescent="0.25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27"/>
    </row>
    <row r="403" spans="1:15" x14ac:dyDescent="0.25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27"/>
    </row>
    <row r="404" spans="1:15" x14ac:dyDescent="0.25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27"/>
    </row>
    <row r="405" spans="1:15" x14ac:dyDescent="0.25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27"/>
    </row>
    <row r="406" spans="1:15" x14ac:dyDescent="0.25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27"/>
    </row>
    <row r="407" spans="1:15" x14ac:dyDescent="0.25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27"/>
    </row>
    <row r="408" spans="1:15" x14ac:dyDescent="0.25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27"/>
    </row>
    <row r="409" spans="1:15" x14ac:dyDescent="0.25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27"/>
    </row>
    <row r="410" spans="1:15" x14ac:dyDescent="0.25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27"/>
    </row>
    <row r="411" spans="1:15" x14ac:dyDescent="0.25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27"/>
    </row>
    <row r="412" spans="1:15" x14ac:dyDescent="0.25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27"/>
    </row>
    <row r="413" spans="1:15" x14ac:dyDescent="0.25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27"/>
    </row>
    <row r="414" spans="1:15" x14ac:dyDescent="0.25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27"/>
    </row>
    <row r="415" spans="1:15" x14ac:dyDescent="0.25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27"/>
    </row>
    <row r="416" spans="1:15" x14ac:dyDescent="0.25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27"/>
    </row>
    <row r="417" spans="1:15" x14ac:dyDescent="0.25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27"/>
    </row>
    <row r="418" spans="1:15" x14ac:dyDescent="0.25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27"/>
    </row>
    <row r="419" spans="1:15" x14ac:dyDescent="0.25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27"/>
    </row>
    <row r="420" spans="1:15" x14ac:dyDescent="0.25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4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8</xdr:col>
                <xdr:colOff>333375</xdr:colOff>
                <xdr:row>0</xdr:row>
                <xdr:rowOff>0</xdr:rowOff>
              </from>
              <to>
                <xdr:col>10</xdr:col>
                <xdr:colOff>28575</xdr:colOff>
                <xdr:row>0</xdr:row>
                <xdr:rowOff>304800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8</xdr:col>
                <xdr:colOff>333375</xdr:colOff>
                <xdr:row>0</xdr:row>
                <xdr:rowOff>314325</xdr:rowOff>
              </from>
              <to>
                <xdr:col>10</xdr:col>
                <xdr:colOff>28575</xdr:colOff>
                <xdr:row>1</xdr:row>
                <xdr:rowOff>161925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8" r:id="rId8" name="CommandButton3">
          <controlPr defaultSize="0" autoLine="0" r:id="rId9">
            <anchor moveWithCells="1">
              <from>
                <xdr:col>7</xdr:col>
                <xdr:colOff>9525</xdr:colOff>
                <xdr:row>0</xdr:row>
                <xdr:rowOff>314325</xdr:rowOff>
              </from>
              <to>
                <xdr:col>8</xdr:col>
                <xdr:colOff>285750</xdr:colOff>
                <xdr:row>1</xdr:row>
                <xdr:rowOff>161925</xdr:rowOff>
              </to>
            </anchor>
          </controlPr>
        </control>
      </mc:Choice>
      <mc:Fallback>
        <control shapeId="1028" r:id="rId8" name="CommandButton3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r:id="rId11">
            <anchor moveWithCells="1">
              <from>
                <xdr:col>7</xdr:col>
                <xdr:colOff>9525</xdr:colOff>
                <xdr:row>0</xdr:row>
                <xdr:rowOff>0</xdr:rowOff>
              </from>
              <to>
                <xdr:col>8</xdr:col>
                <xdr:colOff>285750</xdr:colOff>
                <xdr:row>0</xdr:row>
                <xdr:rowOff>304800</xdr:rowOff>
              </to>
            </anchor>
          </controlPr>
        </control>
      </mc:Choice>
      <mc:Fallback>
        <control shapeId="1029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C500"/>
  <sheetViews>
    <sheetView workbookViewId="0">
      <selection activeCell="A9" sqref="A9"/>
    </sheetView>
  </sheetViews>
  <sheetFormatPr defaultRowHeight="15" x14ac:dyDescent="0.25"/>
  <cols>
    <col min="1" max="1" width="60.5703125" style="2" customWidth="1"/>
    <col min="2" max="2" width="107.7109375" style="2" customWidth="1"/>
    <col min="3" max="3" width="48.7109375" customWidth="1"/>
  </cols>
  <sheetData>
    <row r="1" spans="1:3" x14ac:dyDescent="0.25">
      <c r="A1" s="3" t="s">
        <v>77</v>
      </c>
      <c r="B1" s="3" t="s">
        <v>78</v>
      </c>
    </row>
    <row r="2" spans="1:3" x14ac:dyDescent="0.25">
      <c r="A2" s="4" t="s">
        <v>106</v>
      </c>
      <c r="B2" s="5" t="s">
        <v>98</v>
      </c>
    </row>
    <row r="3" spans="1:3" ht="15" customHeight="1" x14ac:dyDescent="0.25">
      <c r="A3" s="47" t="s">
        <v>107</v>
      </c>
      <c r="B3" s="47" t="s">
        <v>99</v>
      </c>
      <c r="C3" s="48"/>
    </row>
    <row r="4" spans="1:3" x14ac:dyDescent="0.25">
      <c r="A4" s="45" t="s">
        <v>108</v>
      </c>
      <c r="B4" s="44" t="s">
        <v>100</v>
      </c>
      <c r="C4" s="41"/>
    </row>
    <row r="5" spans="1:3" x14ac:dyDescent="0.25">
      <c r="A5" s="45" t="s">
        <v>109</v>
      </c>
      <c r="B5" s="44" t="s">
        <v>101</v>
      </c>
      <c r="C5" s="41"/>
    </row>
    <row r="6" spans="1:3" x14ac:dyDescent="0.25">
      <c r="A6" s="45" t="s">
        <v>7</v>
      </c>
      <c r="B6" s="44" t="s">
        <v>6</v>
      </c>
      <c r="C6" s="41"/>
    </row>
    <row r="7" spans="1:3" x14ac:dyDescent="0.25">
      <c r="A7" s="45" t="s">
        <v>8</v>
      </c>
      <c r="B7" s="44" t="s">
        <v>11</v>
      </c>
      <c r="C7" s="41"/>
    </row>
    <row r="8" spans="1:3" x14ac:dyDescent="0.25">
      <c r="A8" s="45" t="s">
        <v>9</v>
      </c>
      <c r="B8" s="44" t="s">
        <v>79</v>
      </c>
      <c r="C8" s="41"/>
    </row>
    <row r="9" spans="1:3" x14ac:dyDescent="0.25">
      <c r="A9" s="45" t="s">
        <v>10</v>
      </c>
      <c r="B9" s="44" t="s">
        <v>80</v>
      </c>
      <c r="C9" s="41"/>
    </row>
    <row r="10" spans="1:3" x14ac:dyDescent="0.25">
      <c r="A10" s="45" t="s">
        <v>113</v>
      </c>
      <c r="B10" s="44" t="s">
        <v>81</v>
      </c>
      <c r="C10" s="41"/>
    </row>
    <row r="11" spans="1:3" x14ac:dyDescent="0.25">
      <c r="A11" s="45" t="s">
        <v>114</v>
      </c>
      <c r="B11" s="44" t="s">
        <v>82</v>
      </c>
      <c r="C11" s="41"/>
    </row>
    <row r="12" spans="1:3" x14ac:dyDescent="0.25">
      <c r="A12" s="45" t="s">
        <v>96</v>
      </c>
      <c r="B12" s="44" t="s">
        <v>88</v>
      </c>
      <c r="C12" s="41"/>
    </row>
    <row r="13" spans="1:3" x14ac:dyDescent="0.25">
      <c r="A13" s="45" t="s">
        <v>76</v>
      </c>
      <c r="B13" s="44" t="s">
        <v>89</v>
      </c>
      <c r="C13" s="41"/>
    </row>
    <row r="14" spans="1:3" x14ac:dyDescent="0.25">
      <c r="A14" s="45" t="s">
        <v>110</v>
      </c>
      <c r="B14" s="44" t="s">
        <v>90</v>
      </c>
      <c r="C14" s="41"/>
    </row>
    <row r="15" spans="1:3" x14ac:dyDescent="0.25">
      <c r="A15" s="45" t="s">
        <v>85</v>
      </c>
      <c r="B15" s="44" t="s">
        <v>91</v>
      </c>
      <c r="C15" s="41"/>
    </row>
    <row r="16" spans="1:3" x14ac:dyDescent="0.25">
      <c r="A16" s="45"/>
      <c r="B16" s="44"/>
      <c r="C16" s="41"/>
    </row>
    <row r="17" spans="1:3" x14ac:dyDescent="0.25">
      <c r="A17" s="44"/>
      <c r="B17" s="42"/>
      <c r="C17" s="41"/>
    </row>
    <row r="18" spans="1:3" x14ac:dyDescent="0.25">
      <c r="A18" s="44"/>
      <c r="B18" s="43" t="s">
        <v>83</v>
      </c>
      <c r="C18" s="41"/>
    </row>
    <row r="19" spans="1:3" ht="135" x14ac:dyDescent="0.25">
      <c r="A19" s="44"/>
      <c r="B19" s="46" t="s">
        <v>86</v>
      </c>
      <c r="C19" s="41"/>
    </row>
    <row r="20" spans="1:3" x14ac:dyDescent="0.25">
      <c r="A20" s="44"/>
      <c r="B20" s="46"/>
      <c r="C20" s="41"/>
    </row>
    <row r="21" spans="1:3" x14ac:dyDescent="0.25">
      <c r="A21" s="44"/>
      <c r="B21" s="42" t="s">
        <v>92</v>
      </c>
      <c r="C21" s="41"/>
    </row>
    <row r="22" spans="1:3" x14ac:dyDescent="0.25">
      <c r="A22" s="44"/>
      <c r="B22" s="44" t="s">
        <v>87</v>
      </c>
      <c r="C22" s="41"/>
    </row>
    <row r="23" spans="1:3" x14ac:dyDescent="0.25">
      <c r="A23" s="44"/>
      <c r="B23" s="44"/>
      <c r="C23" s="41"/>
    </row>
    <row r="24" spans="1:3" x14ac:dyDescent="0.25">
      <c r="A24" s="44"/>
      <c r="B24" s="44"/>
      <c r="C24" s="41"/>
    </row>
    <row r="25" spans="1:3" x14ac:dyDescent="0.25">
      <c r="A25" s="44"/>
      <c r="B25" s="44"/>
      <c r="C25" s="41"/>
    </row>
    <row r="26" spans="1:3" x14ac:dyDescent="0.25">
      <c r="A26" s="44"/>
      <c r="B26" s="44"/>
      <c r="C26" s="41"/>
    </row>
    <row r="27" spans="1:3" x14ac:dyDescent="0.25">
      <c r="A27" s="44"/>
      <c r="B27" s="44"/>
      <c r="C27" s="41"/>
    </row>
    <row r="28" spans="1:3" x14ac:dyDescent="0.25">
      <c r="A28" s="44"/>
      <c r="B28" s="44"/>
      <c r="C28" s="41"/>
    </row>
    <row r="29" spans="1:3" x14ac:dyDescent="0.25">
      <c r="A29" s="44"/>
      <c r="B29" s="44"/>
      <c r="C29" s="41"/>
    </row>
    <row r="30" spans="1:3" x14ac:dyDescent="0.25">
      <c r="A30" s="44"/>
      <c r="B30" s="44"/>
      <c r="C30" s="41"/>
    </row>
    <row r="31" spans="1:3" x14ac:dyDescent="0.25">
      <c r="A31" s="44"/>
      <c r="B31" s="44"/>
      <c r="C31" s="41"/>
    </row>
    <row r="32" spans="1:3" x14ac:dyDescent="0.25">
      <c r="A32" s="44"/>
      <c r="B32" s="44"/>
      <c r="C32" s="41"/>
    </row>
    <row r="33" spans="1:3" x14ac:dyDescent="0.25">
      <c r="A33" s="44"/>
      <c r="B33" s="44"/>
      <c r="C33" s="41"/>
    </row>
    <row r="34" spans="1:3" x14ac:dyDescent="0.25">
      <c r="A34" s="44"/>
      <c r="B34" s="44"/>
      <c r="C34" s="41"/>
    </row>
    <row r="35" spans="1:3" x14ac:dyDescent="0.25">
      <c r="A35" s="44"/>
      <c r="B35" s="44"/>
      <c r="C35" s="41"/>
    </row>
    <row r="36" spans="1:3" x14ac:dyDescent="0.25">
      <c r="A36" s="44"/>
      <c r="B36" s="44"/>
      <c r="C36" s="41"/>
    </row>
    <row r="37" spans="1:3" x14ac:dyDescent="0.25">
      <c r="A37" s="44"/>
      <c r="B37" s="44"/>
      <c r="C37" s="41"/>
    </row>
    <row r="38" spans="1:3" x14ac:dyDescent="0.25">
      <c r="A38" s="44"/>
      <c r="B38" s="44"/>
      <c r="C38" s="41"/>
    </row>
    <row r="39" spans="1:3" x14ac:dyDescent="0.25">
      <c r="A39" s="44"/>
      <c r="B39" s="44"/>
      <c r="C39" s="41"/>
    </row>
    <row r="40" spans="1:3" x14ac:dyDescent="0.25">
      <c r="A40" s="44"/>
      <c r="B40" s="44"/>
      <c r="C40" s="41"/>
    </row>
    <row r="41" spans="1:3" x14ac:dyDescent="0.25">
      <c r="A41" s="44"/>
      <c r="B41" s="44"/>
      <c r="C41" s="41"/>
    </row>
    <row r="42" spans="1:3" x14ac:dyDescent="0.25">
      <c r="A42" s="44"/>
      <c r="B42" s="44"/>
      <c r="C42" s="41"/>
    </row>
    <row r="43" spans="1:3" x14ac:dyDescent="0.25">
      <c r="A43" s="44"/>
      <c r="B43" s="44"/>
      <c r="C43" s="41"/>
    </row>
    <row r="44" spans="1:3" x14ac:dyDescent="0.25">
      <c r="A44" s="44"/>
      <c r="B44" s="44"/>
      <c r="C44" s="41"/>
    </row>
    <row r="45" spans="1:3" x14ac:dyDescent="0.25">
      <c r="A45" s="44"/>
      <c r="B45" s="44"/>
      <c r="C45" s="41"/>
    </row>
    <row r="46" spans="1:3" x14ac:dyDescent="0.25">
      <c r="A46" s="44"/>
      <c r="B46" s="44"/>
      <c r="C46" s="41"/>
    </row>
    <row r="47" spans="1:3" x14ac:dyDescent="0.25">
      <c r="A47" s="44"/>
      <c r="B47" s="44"/>
      <c r="C47" s="41"/>
    </row>
    <row r="48" spans="1:3" x14ac:dyDescent="0.25">
      <c r="A48" s="44"/>
      <c r="B48" s="44"/>
      <c r="C48" s="41"/>
    </row>
    <row r="49" spans="1:3" x14ac:dyDescent="0.25">
      <c r="A49" s="44"/>
      <c r="B49" s="44"/>
      <c r="C49" s="41"/>
    </row>
    <row r="50" spans="1:3" x14ac:dyDescent="0.25">
      <c r="A50" s="44"/>
      <c r="B50" s="44"/>
      <c r="C50" s="41"/>
    </row>
    <row r="51" spans="1:3" x14ac:dyDescent="0.25">
      <c r="A51" s="44"/>
      <c r="B51" s="44"/>
      <c r="C51" s="41"/>
    </row>
    <row r="52" spans="1:3" x14ac:dyDescent="0.25">
      <c r="A52" s="44"/>
      <c r="B52" s="44"/>
      <c r="C52" s="41"/>
    </row>
    <row r="53" spans="1:3" x14ac:dyDescent="0.25">
      <c r="A53" s="44"/>
      <c r="B53" s="44"/>
      <c r="C53" s="41"/>
    </row>
    <row r="54" spans="1:3" x14ac:dyDescent="0.25">
      <c r="A54" s="44"/>
      <c r="B54" s="44"/>
      <c r="C54" s="41"/>
    </row>
    <row r="55" spans="1:3" x14ac:dyDescent="0.25">
      <c r="A55" s="44"/>
      <c r="B55" s="44"/>
      <c r="C55" s="41"/>
    </row>
    <row r="56" spans="1:3" x14ac:dyDescent="0.25">
      <c r="A56" s="44"/>
      <c r="B56" s="44"/>
      <c r="C56" s="41"/>
    </row>
    <row r="57" spans="1:3" x14ac:dyDescent="0.25">
      <c r="A57" s="44"/>
      <c r="B57" s="44"/>
      <c r="C57" s="41"/>
    </row>
    <row r="58" spans="1:3" x14ac:dyDescent="0.25">
      <c r="A58" s="44"/>
      <c r="B58" s="44"/>
      <c r="C58" s="41"/>
    </row>
    <row r="59" spans="1:3" x14ac:dyDescent="0.25">
      <c r="A59" s="44"/>
      <c r="B59" s="44"/>
      <c r="C59" s="41"/>
    </row>
    <row r="60" spans="1:3" x14ac:dyDescent="0.25">
      <c r="A60" s="44"/>
      <c r="B60" s="44"/>
      <c r="C60" s="41"/>
    </row>
    <row r="61" spans="1:3" x14ac:dyDescent="0.25">
      <c r="A61" s="44"/>
      <c r="B61" s="44"/>
      <c r="C61" s="41"/>
    </row>
    <row r="62" spans="1:3" x14ac:dyDescent="0.25">
      <c r="A62" s="44"/>
      <c r="B62" s="44"/>
      <c r="C62" s="41"/>
    </row>
    <row r="63" spans="1:3" x14ac:dyDescent="0.25">
      <c r="A63" s="44"/>
      <c r="B63" s="44"/>
      <c r="C63" s="41"/>
    </row>
    <row r="64" spans="1:3" x14ac:dyDescent="0.25">
      <c r="A64" s="44"/>
      <c r="B64" s="44"/>
      <c r="C64" s="41"/>
    </row>
    <row r="65" spans="1:3" x14ac:dyDescent="0.25">
      <c r="A65" s="44"/>
      <c r="B65" s="44"/>
      <c r="C65" s="41"/>
    </row>
    <row r="66" spans="1:3" x14ac:dyDescent="0.25">
      <c r="A66" s="44"/>
      <c r="B66" s="44"/>
      <c r="C66" s="41"/>
    </row>
    <row r="67" spans="1:3" x14ac:dyDescent="0.25">
      <c r="A67" s="44"/>
      <c r="B67" s="44"/>
      <c r="C67" s="41"/>
    </row>
    <row r="68" spans="1:3" x14ac:dyDescent="0.25">
      <c r="A68" s="44"/>
      <c r="B68" s="44"/>
      <c r="C68" s="41"/>
    </row>
    <row r="69" spans="1:3" x14ac:dyDescent="0.25">
      <c r="A69" s="44"/>
      <c r="B69" s="44"/>
      <c r="C69" s="41"/>
    </row>
    <row r="70" spans="1:3" x14ac:dyDescent="0.25">
      <c r="A70" s="44"/>
      <c r="B70" s="44"/>
      <c r="C70" s="41"/>
    </row>
    <row r="71" spans="1:3" x14ac:dyDescent="0.25">
      <c r="A71" s="44"/>
      <c r="B71" s="44"/>
      <c r="C71" s="41"/>
    </row>
    <row r="72" spans="1:3" x14ac:dyDescent="0.25">
      <c r="A72" s="44"/>
      <c r="B72" s="44"/>
      <c r="C72" s="41"/>
    </row>
    <row r="73" spans="1:3" x14ac:dyDescent="0.25">
      <c r="A73" s="44"/>
      <c r="B73" s="44"/>
      <c r="C73" s="41"/>
    </row>
    <row r="74" spans="1:3" x14ac:dyDescent="0.25">
      <c r="A74" s="44"/>
      <c r="B74" s="44"/>
      <c r="C74" s="41"/>
    </row>
    <row r="75" spans="1:3" x14ac:dyDescent="0.25">
      <c r="A75" s="44"/>
      <c r="B75" s="44"/>
      <c r="C75" s="41"/>
    </row>
    <row r="76" spans="1:3" x14ac:dyDescent="0.25">
      <c r="A76" s="44"/>
      <c r="B76" s="44"/>
      <c r="C76" s="41"/>
    </row>
    <row r="77" spans="1:3" x14ac:dyDescent="0.25">
      <c r="A77" s="44"/>
      <c r="B77" s="44"/>
      <c r="C77" s="41"/>
    </row>
    <row r="78" spans="1:3" x14ac:dyDescent="0.25">
      <c r="A78" s="44"/>
      <c r="B78" s="44"/>
      <c r="C78" s="41"/>
    </row>
    <row r="79" spans="1:3" x14ac:dyDescent="0.25">
      <c r="A79" s="44"/>
      <c r="B79" s="44"/>
      <c r="C79" s="41"/>
    </row>
    <row r="80" spans="1:3" x14ac:dyDescent="0.25">
      <c r="A80" s="44"/>
      <c r="B80" s="44"/>
      <c r="C80" s="41"/>
    </row>
    <row r="81" spans="1:3" x14ac:dyDescent="0.25">
      <c r="A81" s="44"/>
      <c r="B81" s="44"/>
      <c r="C81" s="41"/>
    </row>
    <row r="82" spans="1:3" x14ac:dyDescent="0.25">
      <c r="A82" s="44"/>
      <c r="B82" s="44"/>
      <c r="C82" s="41"/>
    </row>
    <row r="83" spans="1:3" x14ac:dyDescent="0.25">
      <c r="A83" s="44"/>
      <c r="B83" s="44"/>
      <c r="C83" s="41"/>
    </row>
    <row r="84" spans="1:3" x14ac:dyDescent="0.25">
      <c r="A84" s="44"/>
      <c r="B84" s="44"/>
      <c r="C84" s="41"/>
    </row>
    <row r="85" spans="1:3" x14ac:dyDescent="0.25">
      <c r="A85" s="44"/>
      <c r="B85" s="44"/>
      <c r="C85" s="41"/>
    </row>
    <row r="86" spans="1:3" x14ac:dyDescent="0.25">
      <c r="A86" s="44"/>
      <c r="B86" s="44"/>
      <c r="C86" s="41"/>
    </row>
    <row r="87" spans="1:3" x14ac:dyDescent="0.25">
      <c r="A87" s="44"/>
      <c r="B87" s="44"/>
      <c r="C87" s="41"/>
    </row>
    <row r="88" spans="1:3" x14ac:dyDescent="0.25">
      <c r="A88" s="44"/>
      <c r="B88" s="44"/>
      <c r="C88" s="41"/>
    </row>
    <row r="89" spans="1:3" x14ac:dyDescent="0.25">
      <c r="A89" s="44"/>
      <c r="B89" s="44"/>
      <c r="C89" s="41"/>
    </row>
    <row r="90" spans="1:3" x14ac:dyDescent="0.25">
      <c r="A90" s="44"/>
      <c r="B90" s="44"/>
      <c r="C90" s="41"/>
    </row>
    <row r="91" spans="1:3" x14ac:dyDescent="0.25">
      <c r="A91" s="44"/>
      <c r="B91" s="44"/>
      <c r="C91" s="41"/>
    </row>
    <row r="92" spans="1:3" x14ac:dyDescent="0.25">
      <c r="A92" s="44"/>
      <c r="B92" s="44"/>
      <c r="C92" s="41"/>
    </row>
    <row r="93" spans="1:3" x14ac:dyDescent="0.25">
      <c r="A93" s="44"/>
      <c r="B93" s="44"/>
      <c r="C93" s="41"/>
    </row>
    <row r="94" spans="1:3" x14ac:dyDescent="0.25">
      <c r="A94" s="44"/>
      <c r="B94" s="44"/>
      <c r="C94" s="41"/>
    </row>
    <row r="95" spans="1:3" x14ac:dyDescent="0.25">
      <c r="A95" s="44"/>
      <c r="B95" s="44"/>
      <c r="C95" s="41"/>
    </row>
    <row r="96" spans="1:3" x14ac:dyDescent="0.25">
      <c r="A96" s="44"/>
      <c r="B96" s="44"/>
      <c r="C96" s="41"/>
    </row>
    <row r="97" spans="1:3" x14ac:dyDescent="0.25">
      <c r="A97" s="44"/>
      <c r="B97" s="44"/>
      <c r="C97" s="41"/>
    </row>
    <row r="98" spans="1:3" x14ac:dyDescent="0.25">
      <c r="A98" s="44"/>
      <c r="B98" s="44"/>
      <c r="C98" s="41"/>
    </row>
    <row r="99" spans="1:3" x14ac:dyDescent="0.25">
      <c r="A99" s="44"/>
      <c r="B99" s="44"/>
      <c r="C99" s="41"/>
    </row>
    <row r="100" spans="1:3" x14ac:dyDescent="0.25">
      <c r="A100" s="44"/>
      <c r="B100" s="44"/>
      <c r="C100" s="41"/>
    </row>
    <row r="101" spans="1:3" x14ac:dyDescent="0.25">
      <c r="A101" s="44"/>
      <c r="B101" s="44"/>
      <c r="C101" s="41"/>
    </row>
    <row r="102" spans="1:3" x14ac:dyDescent="0.25">
      <c r="A102" s="44"/>
      <c r="B102" s="44"/>
      <c r="C102" s="41"/>
    </row>
    <row r="103" spans="1:3" x14ac:dyDescent="0.25">
      <c r="A103" s="44"/>
      <c r="B103" s="44"/>
      <c r="C103" s="41"/>
    </row>
    <row r="104" spans="1:3" x14ac:dyDescent="0.25">
      <c r="A104" s="44"/>
      <c r="B104" s="44"/>
      <c r="C104" s="41"/>
    </row>
    <row r="105" spans="1:3" x14ac:dyDescent="0.25">
      <c r="A105" s="44"/>
      <c r="B105" s="44"/>
      <c r="C105" s="41"/>
    </row>
    <row r="106" spans="1:3" x14ac:dyDescent="0.25">
      <c r="A106" s="44"/>
      <c r="B106" s="44"/>
      <c r="C106" s="41"/>
    </row>
    <row r="107" spans="1:3" x14ac:dyDescent="0.25">
      <c r="A107" s="44"/>
      <c r="B107" s="44"/>
      <c r="C107" s="41"/>
    </row>
    <row r="108" spans="1:3" x14ac:dyDescent="0.25">
      <c r="A108" s="44"/>
      <c r="B108" s="44"/>
      <c r="C108" s="41"/>
    </row>
    <row r="109" spans="1:3" x14ac:dyDescent="0.25">
      <c r="A109" s="44"/>
      <c r="B109" s="44"/>
      <c r="C109" s="41"/>
    </row>
    <row r="110" spans="1:3" x14ac:dyDescent="0.25">
      <c r="A110" s="44"/>
      <c r="B110" s="44"/>
      <c r="C110" s="41"/>
    </row>
    <row r="111" spans="1:3" x14ac:dyDescent="0.25">
      <c r="A111" s="44"/>
      <c r="B111" s="44"/>
      <c r="C111" s="41"/>
    </row>
    <row r="112" spans="1:3" x14ac:dyDescent="0.25">
      <c r="A112" s="44"/>
      <c r="B112" s="44"/>
      <c r="C112" s="41"/>
    </row>
    <row r="113" spans="1:3" x14ac:dyDescent="0.25">
      <c r="A113" s="44"/>
      <c r="B113" s="44"/>
      <c r="C113" s="41"/>
    </row>
    <row r="114" spans="1:3" x14ac:dyDescent="0.25">
      <c r="A114" s="44"/>
      <c r="B114" s="44"/>
      <c r="C114" s="41"/>
    </row>
    <row r="115" spans="1:3" x14ac:dyDescent="0.25">
      <c r="A115" s="44"/>
      <c r="B115" s="44"/>
      <c r="C115" s="41"/>
    </row>
    <row r="116" spans="1:3" x14ac:dyDescent="0.25">
      <c r="A116" s="44"/>
      <c r="B116" s="44"/>
      <c r="C116" s="41"/>
    </row>
    <row r="117" spans="1:3" x14ac:dyDescent="0.25">
      <c r="A117" s="44"/>
      <c r="B117" s="44"/>
      <c r="C117" s="41"/>
    </row>
    <row r="118" spans="1:3" x14ac:dyDescent="0.25">
      <c r="A118" s="44"/>
      <c r="B118" s="44"/>
      <c r="C118" s="41"/>
    </row>
    <row r="119" spans="1:3" x14ac:dyDescent="0.25">
      <c r="A119" s="44"/>
      <c r="B119" s="44"/>
      <c r="C119" s="41"/>
    </row>
    <row r="120" spans="1:3" x14ac:dyDescent="0.25">
      <c r="A120" s="44"/>
      <c r="B120" s="44"/>
      <c r="C120" s="41"/>
    </row>
    <row r="121" spans="1:3" x14ac:dyDescent="0.25">
      <c r="A121" s="44"/>
      <c r="B121" s="44"/>
      <c r="C121" s="41"/>
    </row>
    <row r="122" spans="1:3" x14ac:dyDescent="0.25">
      <c r="A122" s="44"/>
      <c r="B122" s="44"/>
      <c r="C122" s="41"/>
    </row>
    <row r="123" spans="1:3" x14ac:dyDescent="0.25">
      <c r="A123" s="44"/>
      <c r="B123" s="44"/>
      <c r="C123" s="41"/>
    </row>
    <row r="124" spans="1:3" x14ac:dyDescent="0.25">
      <c r="A124" s="44"/>
      <c r="B124" s="44"/>
      <c r="C124" s="41"/>
    </row>
    <row r="125" spans="1:3" x14ac:dyDescent="0.25">
      <c r="A125" s="44"/>
      <c r="B125" s="44"/>
      <c r="C125" s="41"/>
    </row>
    <row r="126" spans="1:3" x14ac:dyDescent="0.25">
      <c r="A126" s="44"/>
      <c r="B126" s="44"/>
      <c r="C126" s="41"/>
    </row>
    <row r="127" spans="1:3" x14ac:dyDescent="0.25">
      <c r="A127" s="44"/>
      <c r="B127" s="44"/>
      <c r="C127" s="41"/>
    </row>
    <row r="128" spans="1:3" x14ac:dyDescent="0.25">
      <c r="A128" s="44"/>
      <c r="B128" s="44"/>
      <c r="C128" s="41"/>
    </row>
    <row r="129" spans="1:3" x14ac:dyDescent="0.25">
      <c r="A129" s="44"/>
      <c r="B129" s="44"/>
      <c r="C129" s="41"/>
    </row>
    <row r="130" spans="1:3" x14ac:dyDescent="0.25">
      <c r="A130" s="44"/>
      <c r="B130" s="44"/>
      <c r="C130" s="41"/>
    </row>
    <row r="131" spans="1:3" x14ac:dyDescent="0.25">
      <c r="A131" s="44"/>
      <c r="B131" s="44"/>
      <c r="C131" s="41"/>
    </row>
    <row r="132" spans="1:3" x14ac:dyDescent="0.25">
      <c r="A132" s="44"/>
      <c r="B132" s="44"/>
      <c r="C132" s="41"/>
    </row>
    <row r="133" spans="1:3" x14ac:dyDescent="0.25">
      <c r="A133" s="44"/>
      <c r="B133" s="44"/>
      <c r="C133" s="41"/>
    </row>
    <row r="134" spans="1:3" x14ac:dyDescent="0.25">
      <c r="A134" s="44"/>
      <c r="B134" s="44"/>
      <c r="C134" s="41"/>
    </row>
    <row r="135" spans="1:3" x14ac:dyDescent="0.25">
      <c r="A135" s="44"/>
      <c r="B135" s="44"/>
      <c r="C135" s="41"/>
    </row>
    <row r="136" spans="1:3" x14ac:dyDescent="0.25">
      <c r="A136" s="44"/>
      <c r="B136" s="44"/>
      <c r="C136" s="41"/>
    </row>
    <row r="137" spans="1:3" x14ac:dyDescent="0.25">
      <c r="A137" s="44"/>
      <c r="B137" s="44"/>
      <c r="C137" s="41"/>
    </row>
    <row r="138" spans="1:3" x14ac:dyDescent="0.25">
      <c r="A138" s="44"/>
      <c r="B138" s="44"/>
      <c r="C138" s="41"/>
    </row>
    <row r="139" spans="1:3" x14ac:dyDescent="0.25">
      <c r="A139" s="44"/>
      <c r="B139" s="44"/>
      <c r="C139" s="41"/>
    </row>
    <row r="140" spans="1:3" x14ac:dyDescent="0.25">
      <c r="A140" s="44"/>
      <c r="B140" s="44"/>
      <c r="C140" s="41"/>
    </row>
    <row r="141" spans="1:3" x14ac:dyDescent="0.25">
      <c r="A141" s="44"/>
      <c r="B141" s="44"/>
      <c r="C141" s="41"/>
    </row>
    <row r="142" spans="1:3" x14ac:dyDescent="0.25">
      <c r="A142" s="44"/>
      <c r="B142" s="44"/>
      <c r="C142" s="41"/>
    </row>
    <row r="143" spans="1:3" x14ac:dyDescent="0.25">
      <c r="A143" s="44"/>
      <c r="B143" s="44"/>
      <c r="C143" s="41"/>
    </row>
    <row r="144" spans="1:3" x14ac:dyDescent="0.25">
      <c r="A144" s="44"/>
      <c r="B144" s="44"/>
      <c r="C144" s="41"/>
    </row>
    <row r="145" spans="1:3" x14ac:dyDescent="0.25">
      <c r="A145" s="44"/>
      <c r="B145" s="44"/>
      <c r="C145" s="41"/>
    </row>
    <row r="146" spans="1:3" x14ac:dyDescent="0.25">
      <c r="A146" s="44"/>
      <c r="B146" s="44"/>
      <c r="C146" s="41"/>
    </row>
    <row r="147" spans="1:3" x14ac:dyDescent="0.25">
      <c r="A147" s="44"/>
      <c r="B147" s="44"/>
      <c r="C147" s="41"/>
    </row>
    <row r="148" spans="1:3" x14ac:dyDescent="0.25">
      <c r="A148" s="44"/>
      <c r="B148" s="44"/>
      <c r="C148" s="41"/>
    </row>
    <row r="149" spans="1:3" x14ac:dyDescent="0.25">
      <c r="A149" s="44"/>
      <c r="B149" s="44"/>
      <c r="C149" s="41"/>
    </row>
    <row r="150" spans="1:3" x14ac:dyDescent="0.25">
      <c r="A150" s="44"/>
      <c r="B150" s="44"/>
      <c r="C150" s="41"/>
    </row>
    <row r="151" spans="1:3" x14ac:dyDescent="0.25">
      <c r="A151" s="44"/>
      <c r="B151" s="44"/>
      <c r="C151" s="41"/>
    </row>
    <row r="152" spans="1:3" x14ac:dyDescent="0.25">
      <c r="A152" s="44"/>
      <c r="B152" s="44"/>
      <c r="C152" s="41"/>
    </row>
    <row r="153" spans="1:3" x14ac:dyDescent="0.25">
      <c r="A153" s="44"/>
      <c r="B153" s="44"/>
      <c r="C153" s="41"/>
    </row>
    <row r="154" spans="1:3" x14ac:dyDescent="0.25">
      <c r="A154" s="44"/>
      <c r="B154" s="44"/>
      <c r="C154" s="41"/>
    </row>
    <row r="155" spans="1:3" x14ac:dyDescent="0.25">
      <c r="A155" s="44"/>
      <c r="B155" s="44"/>
      <c r="C155" s="41"/>
    </row>
    <row r="156" spans="1:3" x14ac:dyDescent="0.25">
      <c r="A156" s="44"/>
      <c r="B156" s="44"/>
      <c r="C156" s="41"/>
    </row>
    <row r="157" spans="1:3" x14ac:dyDescent="0.25">
      <c r="A157" s="44"/>
      <c r="B157" s="44"/>
      <c r="C157" s="41"/>
    </row>
    <row r="158" spans="1:3" x14ac:dyDescent="0.25">
      <c r="A158" s="44"/>
      <c r="B158" s="44"/>
      <c r="C158" s="41"/>
    </row>
    <row r="159" spans="1:3" x14ac:dyDescent="0.25">
      <c r="A159" s="44"/>
      <c r="B159" s="44"/>
      <c r="C159" s="41"/>
    </row>
    <row r="160" spans="1:3" x14ac:dyDescent="0.25">
      <c r="A160" s="44"/>
      <c r="B160" s="44"/>
      <c r="C160" s="41"/>
    </row>
    <row r="161" spans="1:3" x14ac:dyDescent="0.25">
      <c r="A161" s="44"/>
      <c r="B161" s="44"/>
      <c r="C161" s="41"/>
    </row>
    <row r="162" spans="1:3" x14ac:dyDescent="0.25">
      <c r="A162" s="44"/>
      <c r="B162" s="44"/>
      <c r="C162" s="41"/>
    </row>
    <row r="163" spans="1:3" x14ac:dyDescent="0.25">
      <c r="A163" s="44"/>
      <c r="B163" s="44"/>
      <c r="C163" s="41"/>
    </row>
    <row r="164" spans="1:3" x14ac:dyDescent="0.25">
      <c r="A164" s="44"/>
      <c r="B164" s="44"/>
      <c r="C164" s="41"/>
    </row>
    <row r="165" spans="1:3" x14ac:dyDescent="0.25">
      <c r="A165" s="44"/>
      <c r="B165" s="44"/>
      <c r="C165" s="41"/>
    </row>
    <row r="166" spans="1:3" x14ac:dyDescent="0.25">
      <c r="A166" s="44"/>
      <c r="B166" s="44"/>
      <c r="C166" s="41"/>
    </row>
    <row r="167" spans="1:3" x14ac:dyDescent="0.25">
      <c r="A167" s="44"/>
      <c r="B167" s="44"/>
      <c r="C167" s="41"/>
    </row>
    <row r="168" spans="1:3" x14ac:dyDescent="0.25">
      <c r="A168" s="44"/>
      <c r="B168" s="44"/>
      <c r="C168" s="41"/>
    </row>
    <row r="169" spans="1:3" x14ac:dyDescent="0.25">
      <c r="A169" s="44"/>
      <c r="B169" s="44"/>
      <c r="C169" s="41"/>
    </row>
    <row r="170" spans="1:3" x14ac:dyDescent="0.25">
      <c r="A170" s="44"/>
      <c r="B170" s="44"/>
      <c r="C170" s="41"/>
    </row>
    <row r="171" spans="1:3" x14ac:dyDescent="0.25">
      <c r="A171" s="44"/>
      <c r="B171" s="44"/>
      <c r="C171" s="41"/>
    </row>
    <row r="172" spans="1:3" x14ac:dyDescent="0.25">
      <c r="A172" s="44"/>
      <c r="B172" s="44"/>
      <c r="C172" s="41"/>
    </row>
    <row r="173" spans="1:3" x14ac:dyDescent="0.25">
      <c r="A173" s="44"/>
      <c r="B173" s="44"/>
      <c r="C173" s="41"/>
    </row>
    <row r="174" spans="1:3" x14ac:dyDescent="0.25">
      <c r="A174" s="44"/>
      <c r="B174" s="44"/>
      <c r="C174" s="41"/>
    </row>
    <row r="175" spans="1:3" x14ac:dyDescent="0.25">
      <c r="A175" s="44"/>
      <c r="B175" s="44"/>
      <c r="C175" s="41"/>
    </row>
    <row r="176" spans="1:3" x14ac:dyDescent="0.25">
      <c r="A176" s="44"/>
      <c r="B176" s="44"/>
      <c r="C176" s="41"/>
    </row>
    <row r="177" spans="1:3" x14ac:dyDescent="0.25">
      <c r="A177" s="44"/>
      <c r="B177" s="44"/>
      <c r="C177" s="41"/>
    </row>
    <row r="178" spans="1:3" x14ac:dyDescent="0.25">
      <c r="A178" s="44"/>
      <c r="B178" s="44"/>
      <c r="C178" s="41"/>
    </row>
    <row r="179" spans="1:3" x14ac:dyDescent="0.25">
      <c r="A179" s="44"/>
      <c r="B179" s="44"/>
      <c r="C179" s="41"/>
    </row>
    <row r="180" spans="1:3" x14ac:dyDescent="0.25">
      <c r="A180" s="44"/>
      <c r="B180" s="44"/>
      <c r="C180" s="41"/>
    </row>
    <row r="181" spans="1:3" x14ac:dyDescent="0.25">
      <c r="A181" s="44"/>
      <c r="B181" s="44"/>
      <c r="C181" s="41"/>
    </row>
    <row r="182" spans="1:3" x14ac:dyDescent="0.25">
      <c r="A182" s="44"/>
      <c r="B182" s="44"/>
      <c r="C182" s="41"/>
    </row>
    <row r="183" spans="1:3" x14ac:dyDescent="0.25">
      <c r="A183" s="44"/>
      <c r="B183" s="44"/>
      <c r="C183" s="41"/>
    </row>
    <row r="184" spans="1:3" x14ac:dyDescent="0.25">
      <c r="A184" s="44"/>
      <c r="B184" s="44"/>
      <c r="C184" s="41"/>
    </row>
    <row r="185" spans="1:3" x14ac:dyDescent="0.25">
      <c r="A185" s="44"/>
      <c r="B185" s="44"/>
      <c r="C185" s="41"/>
    </row>
    <row r="186" spans="1:3" x14ac:dyDescent="0.25">
      <c r="A186" s="44"/>
      <c r="B186" s="44"/>
      <c r="C186" s="41"/>
    </row>
    <row r="187" spans="1:3" x14ac:dyDescent="0.25">
      <c r="A187" s="44"/>
      <c r="B187" s="44"/>
      <c r="C187" s="41"/>
    </row>
    <row r="188" spans="1:3" x14ac:dyDescent="0.25">
      <c r="A188" s="44"/>
      <c r="B188" s="44"/>
      <c r="C188" s="41"/>
    </row>
    <row r="189" spans="1:3" x14ac:dyDescent="0.25">
      <c r="A189" s="44"/>
      <c r="B189" s="44"/>
      <c r="C189" s="41"/>
    </row>
    <row r="190" spans="1:3" x14ac:dyDescent="0.25">
      <c r="A190" s="44"/>
      <c r="B190" s="44"/>
      <c r="C190" s="41"/>
    </row>
    <row r="191" spans="1:3" x14ac:dyDescent="0.25">
      <c r="A191" s="44"/>
      <c r="B191" s="44"/>
      <c r="C191" s="41"/>
    </row>
    <row r="192" spans="1:3" x14ac:dyDescent="0.25">
      <c r="A192" s="44"/>
      <c r="B192" s="44"/>
      <c r="C192" s="41"/>
    </row>
    <row r="193" spans="1:3" x14ac:dyDescent="0.25">
      <c r="A193" s="44"/>
      <c r="B193" s="44"/>
      <c r="C193" s="41"/>
    </row>
    <row r="194" spans="1:3" x14ac:dyDescent="0.25">
      <c r="A194" s="44"/>
      <c r="B194" s="44"/>
      <c r="C194" s="41"/>
    </row>
    <row r="195" spans="1:3" x14ac:dyDescent="0.25">
      <c r="A195" s="44"/>
      <c r="B195" s="44"/>
      <c r="C195" s="41"/>
    </row>
    <row r="196" spans="1:3" x14ac:dyDescent="0.25">
      <c r="A196" s="44"/>
      <c r="B196" s="44"/>
      <c r="C196" s="41"/>
    </row>
    <row r="197" spans="1:3" x14ac:dyDescent="0.25">
      <c r="A197" s="44"/>
      <c r="B197" s="44"/>
      <c r="C197" s="41"/>
    </row>
    <row r="198" spans="1:3" x14ac:dyDescent="0.25">
      <c r="A198" s="44"/>
      <c r="B198" s="44"/>
      <c r="C198" s="41"/>
    </row>
    <row r="199" spans="1:3" x14ac:dyDescent="0.25">
      <c r="A199" s="44"/>
      <c r="B199" s="44"/>
      <c r="C199" s="41"/>
    </row>
    <row r="200" spans="1:3" x14ac:dyDescent="0.25">
      <c r="A200" s="44"/>
      <c r="B200" s="44"/>
      <c r="C200" s="41"/>
    </row>
    <row r="201" spans="1:3" x14ac:dyDescent="0.25">
      <c r="A201" s="44"/>
      <c r="B201" s="44"/>
      <c r="C201" s="41"/>
    </row>
    <row r="202" spans="1:3" x14ac:dyDescent="0.25">
      <c r="A202" s="44"/>
      <c r="B202" s="44"/>
      <c r="C202" s="41"/>
    </row>
    <row r="203" spans="1:3" x14ac:dyDescent="0.25">
      <c r="A203" s="44"/>
      <c r="B203" s="44"/>
      <c r="C203" s="41"/>
    </row>
    <row r="204" spans="1:3" x14ac:dyDescent="0.25">
      <c r="A204" s="44"/>
      <c r="B204" s="44"/>
      <c r="C204" s="41"/>
    </row>
    <row r="205" spans="1:3" x14ac:dyDescent="0.25">
      <c r="A205" s="44"/>
      <c r="B205" s="44"/>
      <c r="C205" s="41"/>
    </row>
    <row r="206" spans="1:3" x14ac:dyDescent="0.25">
      <c r="A206" s="44"/>
      <c r="B206" s="44"/>
      <c r="C206" s="41"/>
    </row>
    <row r="207" spans="1:3" x14ac:dyDescent="0.25">
      <c r="A207" s="44"/>
      <c r="B207" s="44"/>
      <c r="C207" s="41"/>
    </row>
    <row r="208" spans="1:3" x14ac:dyDescent="0.25">
      <c r="A208" s="44"/>
      <c r="B208" s="44"/>
      <c r="C208" s="41"/>
    </row>
    <row r="209" spans="1:3" x14ac:dyDescent="0.25">
      <c r="A209" s="44"/>
      <c r="B209" s="44"/>
      <c r="C209" s="41"/>
    </row>
    <row r="210" spans="1:3" x14ac:dyDescent="0.25">
      <c r="A210" s="44"/>
      <c r="B210" s="44"/>
      <c r="C210" s="41"/>
    </row>
    <row r="211" spans="1:3" x14ac:dyDescent="0.25">
      <c r="A211" s="44"/>
      <c r="B211" s="44"/>
      <c r="C211" s="41"/>
    </row>
    <row r="212" spans="1:3" x14ac:dyDescent="0.25">
      <c r="A212" s="44"/>
      <c r="B212" s="44"/>
      <c r="C212" s="41"/>
    </row>
    <row r="213" spans="1:3" x14ac:dyDescent="0.25">
      <c r="A213" s="44"/>
      <c r="B213" s="44"/>
      <c r="C213" s="41"/>
    </row>
    <row r="214" spans="1:3" x14ac:dyDescent="0.25">
      <c r="A214" s="44"/>
      <c r="B214" s="44"/>
      <c r="C214" s="41"/>
    </row>
    <row r="215" spans="1:3" x14ac:dyDescent="0.25">
      <c r="A215" s="44"/>
      <c r="B215" s="44"/>
      <c r="C215" s="41"/>
    </row>
    <row r="216" spans="1:3" x14ac:dyDescent="0.25">
      <c r="A216" s="44"/>
      <c r="B216" s="44"/>
      <c r="C216" s="41"/>
    </row>
    <row r="217" spans="1:3" x14ac:dyDescent="0.25">
      <c r="A217" s="44"/>
      <c r="B217" s="44"/>
      <c r="C217" s="41"/>
    </row>
    <row r="218" spans="1:3" x14ac:dyDescent="0.25">
      <c r="A218" s="44"/>
      <c r="B218" s="44"/>
      <c r="C218" s="41"/>
    </row>
    <row r="219" spans="1:3" x14ac:dyDescent="0.25">
      <c r="A219" s="44"/>
      <c r="B219" s="44"/>
      <c r="C219" s="41"/>
    </row>
    <row r="220" spans="1:3" x14ac:dyDescent="0.25">
      <c r="A220" s="44"/>
      <c r="B220" s="44"/>
      <c r="C220" s="41"/>
    </row>
    <row r="221" spans="1:3" x14ac:dyDescent="0.25">
      <c r="A221" s="44"/>
      <c r="B221" s="44"/>
      <c r="C221" s="41"/>
    </row>
    <row r="222" spans="1:3" x14ac:dyDescent="0.25">
      <c r="A222" s="44"/>
      <c r="B222" s="44"/>
      <c r="C222" s="41"/>
    </row>
    <row r="223" spans="1:3" x14ac:dyDescent="0.25">
      <c r="A223" s="44"/>
      <c r="B223" s="44"/>
      <c r="C223" s="41"/>
    </row>
    <row r="224" spans="1:3" x14ac:dyDescent="0.25">
      <c r="A224" s="44"/>
      <c r="B224" s="44"/>
      <c r="C224" s="41"/>
    </row>
    <row r="225" spans="1:3" x14ac:dyDescent="0.25">
      <c r="A225" s="44"/>
      <c r="B225" s="44"/>
      <c r="C225" s="41"/>
    </row>
    <row r="226" spans="1:3" x14ac:dyDescent="0.25">
      <c r="A226" s="44"/>
      <c r="B226" s="44"/>
      <c r="C226" s="41"/>
    </row>
    <row r="227" spans="1:3" x14ac:dyDescent="0.25">
      <c r="A227" s="44"/>
      <c r="B227" s="44"/>
      <c r="C227" s="41"/>
    </row>
    <row r="228" spans="1:3" x14ac:dyDescent="0.25">
      <c r="A228" s="44"/>
      <c r="B228" s="44"/>
      <c r="C228" s="41"/>
    </row>
    <row r="229" spans="1:3" x14ac:dyDescent="0.25">
      <c r="A229" s="44"/>
      <c r="B229" s="44"/>
      <c r="C229" s="41"/>
    </row>
    <row r="230" spans="1:3" x14ac:dyDescent="0.25">
      <c r="A230" s="44"/>
      <c r="B230" s="44"/>
      <c r="C230" s="41"/>
    </row>
    <row r="231" spans="1:3" x14ac:dyDescent="0.25">
      <c r="A231" s="44"/>
      <c r="B231" s="44"/>
      <c r="C231" s="41"/>
    </row>
    <row r="232" spans="1:3" x14ac:dyDescent="0.25">
      <c r="A232" s="44"/>
      <c r="B232" s="44"/>
      <c r="C232" s="41"/>
    </row>
    <row r="233" spans="1:3" x14ac:dyDescent="0.25">
      <c r="A233" s="44"/>
      <c r="B233" s="44"/>
      <c r="C233" s="41"/>
    </row>
    <row r="234" spans="1:3" x14ac:dyDescent="0.25">
      <c r="A234" s="44"/>
      <c r="B234" s="44"/>
      <c r="C234" s="41"/>
    </row>
    <row r="235" spans="1:3" x14ac:dyDescent="0.25">
      <c r="A235" s="44"/>
      <c r="B235" s="44"/>
      <c r="C235" s="41"/>
    </row>
    <row r="236" spans="1:3" x14ac:dyDescent="0.25">
      <c r="A236" s="44"/>
      <c r="B236" s="44"/>
      <c r="C236" s="41"/>
    </row>
    <row r="237" spans="1:3" x14ac:dyDescent="0.25">
      <c r="A237" s="44"/>
      <c r="B237" s="44"/>
      <c r="C237" s="41"/>
    </row>
    <row r="238" spans="1:3" x14ac:dyDescent="0.25">
      <c r="A238" s="44"/>
      <c r="B238" s="44"/>
      <c r="C238" s="41"/>
    </row>
    <row r="239" spans="1:3" x14ac:dyDescent="0.25">
      <c r="A239" s="44"/>
      <c r="B239" s="44"/>
      <c r="C239" s="41"/>
    </row>
    <row r="240" spans="1:3" x14ac:dyDescent="0.25">
      <c r="A240" s="44"/>
      <c r="B240" s="44"/>
      <c r="C240" s="41"/>
    </row>
    <row r="241" spans="1:3" x14ac:dyDescent="0.25">
      <c r="A241" s="44"/>
      <c r="B241" s="44"/>
      <c r="C241" s="41"/>
    </row>
    <row r="242" spans="1:3" x14ac:dyDescent="0.25">
      <c r="A242" s="44"/>
      <c r="B242" s="44"/>
      <c r="C242" s="41"/>
    </row>
    <row r="243" spans="1:3" x14ac:dyDescent="0.25">
      <c r="A243" s="44"/>
      <c r="B243" s="44"/>
      <c r="C243" s="41"/>
    </row>
    <row r="244" spans="1:3" x14ac:dyDescent="0.25">
      <c r="A244" s="44"/>
      <c r="B244" s="44"/>
      <c r="C244" s="41"/>
    </row>
    <row r="245" spans="1:3" x14ac:dyDescent="0.25">
      <c r="A245" s="44"/>
      <c r="B245" s="44"/>
      <c r="C245" s="41"/>
    </row>
    <row r="246" spans="1:3" x14ac:dyDescent="0.25">
      <c r="A246" s="44"/>
      <c r="B246" s="44"/>
      <c r="C246" s="41"/>
    </row>
    <row r="247" spans="1:3" x14ac:dyDescent="0.25">
      <c r="A247" s="44"/>
      <c r="B247" s="44"/>
      <c r="C247" s="41"/>
    </row>
    <row r="248" spans="1:3" x14ac:dyDescent="0.25">
      <c r="A248" s="44"/>
      <c r="B248" s="44"/>
      <c r="C248" s="41"/>
    </row>
    <row r="249" spans="1:3" x14ac:dyDescent="0.25">
      <c r="A249" s="44"/>
      <c r="B249" s="44"/>
      <c r="C249" s="41"/>
    </row>
    <row r="250" spans="1:3" x14ac:dyDescent="0.25">
      <c r="A250" s="44"/>
      <c r="B250" s="44"/>
      <c r="C250" s="41"/>
    </row>
    <row r="251" spans="1:3" x14ac:dyDescent="0.25">
      <c r="A251" s="44"/>
      <c r="B251" s="44"/>
      <c r="C251" s="41"/>
    </row>
    <row r="252" spans="1:3" x14ac:dyDescent="0.25">
      <c r="A252" s="44"/>
      <c r="B252" s="44"/>
      <c r="C252" s="41"/>
    </row>
    <row r="253" spans="1:3" x14ac:dyDescent="0.25">
      <c r="A253" s="44"/>
      <c r="B253" s="44"/>
      <c r="C253" s="41"/>
    </row>
    <row r="254" spans="1:3" x14ac:dyDescent="0.25">
      <c r="A254" s="44"/>
      <c r="B254" s="44"/>
      <c r="C254" s="41"/>
    </row>
    <row r="255" spans="1:3" x14ac:dyDescent="0.25">
      <c r="A255" s="44"/>
      <c r="B255" s="44"/>
      <c r="C255" s="41"/>
    </row>
    <row r="256" spans="1:3" x14ac:dyDescent="0.25">
      <c r="A256" s="44"/>
      <c r="B256" s="44"/>
      <c r="C256" s="41"/>
    </row>
    <row r="257" spans="1:3" x14ac:dyDescent="0.25">
      <c r="A257" s="44"/>
      <c r="B257" s="44"/>
      <c r="C257" s="41"/>
    </row>
    <row r="258" spans="1:3" x14ac:dyDescent="0.25">
      <c r="A258" s="44"/>
      <c r="B258" s="44"/>
      <c r="C258" s="41"/>
    </row>
    <row r="259" spans="1:3" x14ac:dyDescent="0.25">
      <c r="A259" s="44"/>
      <c r="B259" s="44"/>
      <c r="C259" s="41"/>
    </row>
    <row r="260" spans="1:3" x14ac:dyDescent="0.25">
      <c r="A260" s="44"/>
      <c r="B260" s="44"/>
      <c r="C260" s="41"/>
    </row>
    <row r="261" spans="1:3" x14ac:dyDescent="0.25">
      <c r="A261" s="44"/>
      <c r="B261" s="44"/>
      <c r="C261" s="41"/>
    </row>
    <row r="262" spans="1:3" x14ac:dyDescent="0.25">
      <c r="A262" s="44"/>
      <c r="B262" s="44"/>
      <c r="C262" s="41"/>
    </row>
    <row r="263" spans="1:3" x14ac:dyDescent="0.25">
      <c r="A263" s="44"/>
      <c r="B263" s="44"/>
      <c r="C263" s="41"/>
    </row>
    <row r="264" spans="1:3" x14ac:dyDescent="0.25">
      <c r="A264" s="44"/>
      <c r="B264" s="44"/>
      <c r="C264" s="41"/>
    </row>
    <row r="265" spans="1:3" x14ac:dyDescent="0.25">
      <c r="A265" s="44"/>
      <c r="B265" s="44"/>
      <c r="C265" s="41"/>
    </row>
    <row r="266" spans="1:3" x14ac:dyDescent="0.25">
      <c r="A266" s="44"/>
      <c r="B266" s="44"/>
      <c r="C266" s="41"/>
    </row>
    <row r="267" spans="1:3" x14ac:dyDescent="0.25">
      <c r="A267" s="44"/>
      <c r="B267" s="44"/>
      <c r="C267" s="41"/>
    </row>
    <row r="268" spans="1:3" x14ac:dyDescent="0.25">
      <c r="A268" s="44"/>
      <c r="B268" s="44"/>
      <c r="C268" s="41"/>
    </row>
    <row r="269" spans="1:3" x14ac:dyDescent="0.25">
      <c r="A269" s="44"/>
      <c r="B269" s="44"/>
      <c r="C269" s="41"/>
    </row>
    <row r="270" spans="1:3" x14ac:dyDescent="0.25">
      <c r="A270" s="44"/>
      <c r="B270" s="44"/>
      <c r="C270" s="41"/>
    </row>
    <row r="271" spans="1:3" x14ac:dyDescent="0.25">
      <c r="A271" s="44"/>
      <c r="B271" s="44"/>
      <c r="C271" s="41"/>
    </row>
    <row r="272" spans="1:3" x14ac:dyDescent="0.25">
      <c r="A272" s="44"/>
      <c r="B272" s="44"/>
      <c r="C272" s="41"/>
    </row>
    <row r="273" spans="1:3" x14ac:dyDescent="0.25">
      <c r="A273" s="44"/>
      <c r="B273" s="44"/>
      <c r="C273" s="41"/>
    </row>
    <row r="274" spans="1:3" x14ac:dyDescent="0.25">
      <c r="A274" s="44"/>
      <c r="B274" s="44"/>
      <c r="C274" s="41"/>
    </row>
    <row r="275" spans="1:3" x14ac:dyDescent="0.25">
      <c r="A275" s="44"/>
      <c r="B275" s="44"/>
      <c r="C275" s="41"/>
    </row>
    <row r="276" spans="1:3" x14ac:dyDescent="0.25">
      <c r="A276" s="44"/>
      <c r="B276" s="44"/>
      <c r="C276" s="41"/>
    </row>
    <row r="277" spans="1:3" x14ac:dyDescent="0.25">
      <c r="A277" s="44"/>
      <c r="B277" s="44"/>
      <c r="C277" s="41"/>
    </row>
    <row r="278" spans="1:3" x14ac:dyDescent="0.25">
      <c r="A278" s="44"/>
      <c r="B278" s="44"/>
      <c r="C278" s="41"/>
    </row>
    <row r="279" spans="1:3" x14ac:dyDescent="0.25">
      <c r="A279" s="44"/>
      <c r="B279" s="44"/>
      <c r="C279" s="41"/>
    </row>
    <row r="280" spans="1:3" x14ac:dyDescent="0.25">
      <c r="A280" s="44"/>
      <c r="B280" s="44"/>
      <c r="C280" s="41"/>
    </row>
    <row r="281" spans="1:3" x14ac:dyDescent="0.25">
      <c r="A281" s="44"/>
      <c r="B281" s="44"/>
      <c r="C281" s="41"/>
    </row>
    <row r="282" spans="1:3" x14ac:dyDescent="0.25">
      <c r="A282" s="44"/>
      <c r="B282" s="44"/>
      <c r="C282" s="41"/>
    </row>
    <row r="283" spans="1:3" x14ac:dyDescent="0.25">
      <c r="A283" s="44"/>
      <c r="B283" s="44"/>
      <c r="C283" s="41"/>
    </row>
    <row r="284" spans="1:3" x14ac:dyDescent="0.25">
      <c r="A284" s="44"/>
      <c r="B284" s="44"/>
      <c r="C284" s="41"/>
    </row>
    <row r="285" spans="1:3" x14ac:dyDescent="0.25">
      <c r="A285" s="44"/>
      <c r="B285" s="44"/>
      <c r="C285" s="41"/>
    </row>
    <row r="286" spans="1:3" x14ac:dyDescent="0.25">
      <c r="A286" s="44"/>
      <c r="B286" s="44"/>
      <c r="C286" s="41"/>
    </row>
    <row r="287" spans="1:3" x14ac:dyDescent="0.25">
      <c r="A287" s="44"/>
      <c r="B287" s="44"/>
      <c r="C287" s="41"/>
    </row>
    <row r="288" spans="1:3" x14ac:dyDescent="0.25">
      <c r="A288" s="44"/>
      <c r="B288" s="44"/>
      <c r="C288" s="41"/>
    </row>
    <row r="289" spans="1:3" x14ac:dyDescent="0.25">
      <c r="A289" s="44"/>
      <c r="B289" s="44"/>
      <c r="C289" s="41"/>
    </row>
    <row r="290" spans="1:3" x14ac:dyDescent="0.25">
      <c r="A290" s="44"/>
      <c r="B290" s="44"/>
      <c r="C290" s="41"/>
    </row>
    <row r="291" spans="1:3" x14ac:dyDescent="0.25">
      <c r="A291" s="44"/>
      <c r="B291" s="44"/>
      <c r="C291" s="41"/>
    </row>
    <row r="292" spans="1:3" x14ac:dyDescent="0.25">
      <c r="A292" s="44"/>
      <c r="B292" s="44"/>
      <c r="C292" s="41"/>
    </row>
    <row r="293" spans="1:3" x14ac:dyDescent="0.25">
      <c r="A293" s="44"/>
      <c r="B293" s="44"/>
      <c r="C293" s="41"/>
    </row>
    <row r="294" spans="1:3" x14ac:dyDescent="0.25">
      <c r="A294" s="44"/>
      <c r="B294" s="44"/>
      <c r="C294" s="41"/>
    </row>
    <row r="295" spans="1:3" x14ac:dyDescent="0.25">
      <c r="A295" s="44"/>
      <c r="B295" s="44"/>
      <c r="C295" s="41"/>
    </row>
    <row r="296" spans="1:3" x14ac:dyDescent="0.25">
      <c r="A296" s="44"/>
      <c r="B296" s="44"/>
      <c r="C296" s="41"/>
    </row>
    <row r="297" spans="1:3" x14ac:dyDescent="0.25">
      <c r="A297" s="44"/>
      <c r="B297" s="44"/>
      <c r="C297" s="41"/>
    </row>
    <row r="298" spans="1:3" x14ac:dyDescent="0.25">
      <c r="A298" s="44"/>
      <c r="B298" s="44"/>
      <c r="C298" s="41"/>
    </row>
    <row r="299" spans="1:3" x14ac:dyDescent="0.25">
      <c r="A299" s="44"/>
      <c r="B299" s="44"/>
      <c r="C299" s="41"/>
    </row>
    <row r="300" spans="1:3" x14ac:dyDescent="0.25">
      <c r="A300" s="44"/>
      <c r="B300" s="44"/>
      <c r="C300" s="41"/>
    </row>
    <row r="301" spans="1:3" x14ac:dyDescent="0.25">
      <c r="A301" s="44"/>
      <c r="B301" s="44"/>
      <c r="C301" s="41"/>
    </row>
    <row r="302" spans="1:3" x14ac:dyDescent="0.25">
      <c r="A302" s="44"/>
      <c r="B302" s="44"/>
      <c r="C302" s="41"/>
    </row>
    <row r="303" spans="1:3" x14ac:dyDescent="0.25">
      <c r="A303" s="44"/>
      <c r="B303" s="44"/>
      <c r="C303" s="41"/>
    </row>
    <row r="304" spans="1:3" x14ac:dyDescent="0.25">
      <c r="A304" s="44"/>
      <c r="B304" s="44"/>
      <c r="C304" s="41"/>
    </row>
    <row r="305" spans="1:3" x14ac:dyDescent="0.25">
      <c r="A305" s="44"/>
      <c r="B305" s="44"/>
      <c r="C305" s="41"/>
    </row>
    <row r="306" spans="1:3" x14ac:dyDescent="0.25">
      <c r="A306" s="44"/>
      <c r="B306" s="44"/>
      <c r="C306" s="41"/>
    </row>
    <row r="307" spans="1:3" x14ac:dyDescent="0.25">
      <c r="A307" s="44"/>
      <c r="B307" s="44"/>
      <c r="C307" s="41"/>
    </row>
    <row r="308" spans="1:3" x14ac:dyDescent="0.25">
      <c r="A308" s="44"/>
      <c r="B308" s="44"/>
      <c r="C308" s="41"/>
    </row>
    <row r="309" spans="1:3" x14ac:dyDescent="0.25">
      <c r="A309" s="44"/>
      <c r="B309" s="44"/>
      <c r="C309" s="41"/>
    </row>
    <row r="310" spans="1:3" x14ac:dyDescent="0.25">
      <c r="A310" s="44"/>
      <c r="B310" s="44"/>
      <c r="C310" s="41"/>
    </row>
    <row r="311" spans="1:3" x14ac:dyDescent="0.25">
      <c r="A311" s="44"/>
      <c r="B311" s="44"/>
      <c r="C311" s="41"/>
    </row>
    <row r="312" spans="1:3" x14ac:dyDescent="0.25">
      <c r="A312" s="44"/>
      <c r="B312" s="44"/>
      <c r="C312" s="41"/>
    </row>
    <row r="313" spans="1:3" x14ac:dyDescent="0.25">
      <c r="A313" s="44"/>
      <c r="B313" s="44"/>
      <c r="C313" s="41"/>
    </row>
    <row r="314" spans="1:3" x14ac:dyDescent="0.25">
      <c r="A314" s="44"/>
      <c r="B314" s="44"/>
      <c r="C314" s="41"/>
    </row>
    <row r="315" spans="1:3" x14ac:dyDescent="0.25">
      <c r="A315" s="44"/>
      <c r="B315" s="44"/>
      <c r="C315" s="41"/>
    </row>
    <row r="316" spans="1:3" x14ac:dyDescent="0.25">
      <c r="A316" s="44"/>
      <c r="B316" s="44"/>
      <c r="C316" s="41"/>
    </row>
    <row r="317" spans="1:3" x14ac:dyDescent="0.25">
      <c r="A317" s="44"/>
      <c r="B317" s="44"/>
      <c r="C317" s="41"/>
    </row>
    <row r="318" spans="1:3" x14ac:dyDescent="0.25">
      <c r="A318" s="44"/>
      <c r="B318" s="44"/>
      <c r="C318" s="41"/>
    </row>
    <row r="319" spans="1:3" x14ac:dyDescent="0.25">
      <c r="A319" s="44"/>
      <c r="B319" s="44"/>
      <c r="C319" s="41"/>
    </row>
    <row r="320" spans="1:3" x14ac:dyDescent="0.25">
      <c r="A320" s="44"/>
      <c r="B320" s="44"/>
      <c r="C320" s="41"/>
    </row>
    <row r="321" spans="1:3" x14ac:dyDescent="0.25">
      <c r="A321" s="44"/>
      <c r="B321" s="44"/>
      <c r="C321" s="41"/>
    </row>
    <row r="322" spans="1:3" x14ac:dyDescent="0.25">
      <c r="A322" s="44"/>
      <c r="B322" s="44"/>
      <c r="C322" s="41"/>
    </row>
    <row r="323" spans="1:3" x14ac:dyDescent="0.25">
      <c r="A323" s="44"/>
      <c r="B323" s="44"/>
      <c r="C323" s="41"/>
    </row>
    <row r="324" spans="1:3" x14ac:dyDescent="0.25">
      <c r="A324" s="44"/>
      <c r="B324" s="44"/>
      <c r="C324" s="41"/>
    </row>
    <row r="325" spans="1:3" x14ac:dyDescent="0.25">
      <c r="A325" s="44"/>
      <c r="B325" s="44"/>
      <c r="C325" s="41"/>
    </row>
    <row r="326" spans="1:3" x14ac:dyDescent="0.25">
      <c r="A326" s="44"/>
      <c r="B326" s="44"/>
      <c r="C326" s="41"/>
    </row>
    <row r="327" spans="1:3" x14ac:dyDescent="0.25">
      <c r="A327" s="44"/>
      <c r="B327" s="44"/>
      <c r="C327" s="41"/>
    </row>
    <row r="328" spans="1:3" x14ac:dyDescent="0.25">
      <c r="A328" s="44"/>
      <c r="B328" s="44"/>
      <c r="C328" s="41"/>
    </row>
    <row r="329" spans="1:3" x14ac:dyDescent="0.25">
      <c r="A329" s="44"/>
      <c r="B329" s="44"/>
      <c r="C329" s="41"/>
    </row>
    <row r="330" spans="1:3" x14ac:dyDescent="0.25">
      <c r="A330" s="44"/>
      <c r="B330" s="44"/>
      <c r="C330" s="41"/>
    </row>
    <row r="331" spans="1:3" x14ac:dyDescent="0.25">
      <c r="A331" s="44"/>
      <c r="B331" s="44"/>
      <c r="C331" s="41"/>
    </row>
    <row r="332" spans="1:3" x14ac:dyDescent="0.25">
      <c r="A332" s="44"/>
      <c r="B332" s="44"/>
      <c r="C332" s="41"/>
    </row>
    <row r="333" spans="1:3" x14ac:dyDescent="0.25">
      <c r="A333" s="44"/>
      <c r="B333" s="44"/>
      <c r="C333" s="41"/>
    </row>
    <row r="334" spans="1:3" x14ac:dyDescent="0.25">
      <c r="A334" s="44"/>
      <c r="B334" s="44"/>
      <c r="C334" s="41"/>
    </row>
    <row r="335" spans="1:3" x14ac:dyDescent="0.25">
      <c r="A335" s="44"/>
      <c r="B335" s="44"/>
      <c r="C335" s="41"/>
    </row>
    <row r="336" spans="1:3" x14ac:dyDescent="0.25">
      <c r="A336" s="44"/>
      <c r="B336" s="44"/>
      <c r="C336" s="41"/>
    </row>
    <row r="337" spans="1:3" x14ac:dyDescent="0.25">
      <c r="A337" s="44"/>
      <c r="B337" s="44"/>
      <c r="C337" s="41"/>
    </row>
    <row r="338" spans="1:3" x14ac:dyDescent="0.25">
      <c r="A338" s="44"/>
      <c r="B338" s="44"/>
      <c r="C338" s="41"/>
    </row>
    <row r="339" spans="1:3" x14ac:dyDescent="0.25">
      <c r="A339" s="44"/>
      <c r="B339" s="44"/>
      <c r="C339" s="41"/>
    </row>
    <row r="340" spans="1:3" x14ac:dyDescent="0.25">
      <c r="A340" s="44"/>
      <c r="B340" s="44"/>
      <c r="C340" s="41"/>
    </row>
    <row r="341" spans="1:3" x14ac:dyDescent="0.25">
      <c r="A341" s="44"/>
      <c r="B341" s="44"/>
      <c r="C341" s="41"/>
    </row>
    <row r="342" spans="1:3" x14ac:dyDescent="0.25">
      <c r="A342" s="44"/>
      <c r="B342" s="44"/>
      <c r="C342" s="41"/>
    </row>
    <row r="343" spans="1:3" x14ac:dyDescent="0.25">
      <c r="A343" s="44"/>
      <c r="B343" s="44"/>
      <c r="C343" s="41"/>
    </row>
    <row r="344" spans="1:3" x14ac:dyDescent="0.25">
      <c r="A344" s="44"/>
      <c r="B344" s="44"/>
      <c r="C344" s="41"/>
    </row>
    <row r="345" spans="1:3" x14ac:dyDescent="0.25">
      <c r="A345" s="44"/>
      <c r="B345" s="44"/>
      <c r="C345" s="41"/>
    </row>
    <row r="346" spans="1:3" x14ac:dyDescent="0.25">
      <c r="A346" s="44"/>
      <c r="B346" s="44"/>
      <c r="C346" s="41"/>
    </row>
    <row r="347" spans="1:3" x14ac:dyDescent="0.25">
      <c r="A347" s="44"/>
      <c r="B347" s="44"/>
      <c r="C347" s="41"/>
    </row>
    <row r="348" spans="1:3" x14ac:dyDescent="0.25">
      <c r="A348" s="44"/>
      <c r="B348" s="44"/>
      <c r="C348" s="41"/>
    </row>
    <row r="349" spans="1:3" x14ac:dyDescent="0.25">
      <c r="A349" s="44"/>
      <c r="B349" s="44"/>
      <c r="C349" s="41"/>
    </row>
    <row r="350" spans="1:3" x14ac:dyDescent="0.25">
      <c r="A350" s="44"/>
      <c r="B350" s="44"/>
      <c r="C350" s="41"/>
    </row>
    <row r="351" spans="1:3" x14ac:dyDescent="0.25">
      <c r="A351" s="44"/>
      <c r="B351" s="44"/>
      <c r="C351" s="41"/>
    </row>
    <row r="352" spans="1:3" x14ac:dyDescent="0.25">
      <c r="A352" s="44"/>
      <c r="B352" s="44"/>
      <c r="C352" s="41"/>
    </row>
    <row r="353" spans="1:3" x14ac:dyDescent="0.25">
      <c r="A353" s="44"/>
      <c r="B353" s="44"/>
      <c r="C353" s="41"/>
    </row>
    <row r="354" spans="1:3" x14ac:dyDescent="0.25">
      <c r="A354" s="44"/>
      <c r="B354" s="44"/>
      <c r="C354" s="41"/>
    </row>
    <row r="355" spans="1:3" x14ac:dyDescent="0.25">
      <c r="A355" s="44"/>
      <c r="B355" s="44"/>
      <c r="C355" s="41"/>
    </row>
    <row r="356" spans="1:3" x14ac:dyDescent="0.25">
      <c r="A356" s="44"/>
      <c r="B356" s="44"/>
      <c r="C356" s="41"/>
    </row>
    <row r="357" spans="1:3" x14ac:dyDescent="0.25">
      <c r="A357" s="44"/>
      <c r="B357" s="44"/>
      <c r="C357" s="41"/>
    </row>
    <row r="358" spans="1:3" x14ac:dyDescent="0.25">
      <c r="A358" s="44"/>
      <c r="B358" s="44"/>
      <c r="C358" s="41"/>
    </row>
    <row r="359" spans="1:3" x14ac:dyDescent="0.25">
      <c r="A359" s="44"/>
      <c r="B359" s="44"/>
      <c r="C359" s="41"/>
    </row>
    <row r="360" spans="1:3" x14ac:dyDescent="0.25">
      <c r="A360" s="44"/>
      <c r="B360" s="44"/>
      <c r="C360" s="41"/>
    </row>
    <row r="361" spans="1:3" x14ac:dyDescent="0.25">
      <c r="A361" s="44"/>
      <c r="B361" s="44"/>
      <c r="C361" s="41"/>
    </row>
    <row r="362" spans="1:3" x14ac:dyDescent="0.25">
      <c r="A362" s="44"/>
      <c r="B362" s="44"/>
      <c r="C362" s="41"/>
    </row>
    <row r="363" spans="1:3" x14ac:dyDescent="0.25">
      <c r="A363" s="44"/>
      <c r="B363" s="44"/>
      <c r="C363" s="41"/>
    </row>
    <row r="364" spans="1:3" x14ac:dyDescent="0.25">
      <c r="A364" s="44"/>
      <c r="B364" s="44"/>
      <c r="C364" s="41"/>
    </row>
    <row r="365" spans="1:3" x14ac:dyDescent="0.25">
      <c r="A365" s="44"/>
      <c r="B365" s="44"/>
      <c r="C365" s="41"/>
    </row>
    <row r="366" spans="1:3" x14ac:dyDescent="0.25">
      <c r="A366" s="44"/>
      <c r="B366" s="44"/>
      <c r="C366" s="41"/>
    </row>
    <row r="367" spans="1:3" x14ac:dyDescent="0.25">
      <c r="A367" s="44"/>
      <c r="B367" s="44"/>
      <c r="C367" s="41"/>
    </row>
    <row r="368" spans="1:3" x14ac:dyDescent="0.25">
      <c r="A368" s="44"/>
      <c r="B368" s="44"/>
      <c r="C368" s="41"/>
    </row>
    <row r="369" spans="1:3" x14ac:dyDescent="0.25">
      <c r="A369" s="44"/>
      <c r="B369" s="44"/>
      <c r="C369" s="41"/>
    </row>
    <row r="370" spans="1:3" x14ac:dyDescent="0.25">
      <c r="A370" s="44"/>
      <c r="B370" s="44"/>
      <c r="C370" s="41"/>
    </row>
    <row r="371" spans="1:3" x14ac:dyDescent="0.25">
      <c r="A371" s="44"/>
      <c r="B371" s="44"/>
      <c r="C371" s="41"/>
    </row>
    <row r="372" spans="1:3" x14ac:dyDescent="0.25">
      <c r="A372" s="44"/>
      <c r="B372" s="44"/>
      <c r="C372" s="41"/>
    </row>
    <row r="373" spans="1:3" x14ac:dyDescent="0.25">
      <c r="A373" s="44"/>
      <c r="B373" s="44"/>
      <c r="C373" s="41"/>
    </row>
    <row r="374" spans="1:3" x14ac:dyDescent="0.25">
      <c r="A374" s="44"/>
      <c r="B374" s="44"/>
      <c r="C374" s="41"/>
    </row>
    <row r="375" spans="1:3" x14ac:dyDescent="0.25">
      <c r="A375" s="44"/>
      <c r="B375" s="44"/>
      <c r="C375" s="41"/>
    </row>
    <row r="376" spans="1:3" x14ac:dyDescent="0.25">
      <c r="A376" s="44"/>
      <c r="B376" s="44"/>
      <c r="C376" s="41"/>
    </row>
    <row r="377" spans="1:3" x14ac:dyDescent="0.25">
      <c r="A377" s="44"/>
      <c r="B377" s="44"/>
      <c r="C377" s="41"/>
    </row>
    <row r="378" spans="1:3" x14ac:dyDescent="0.25">
      <c r="A378" s="44"/>
      <c r="B378" s="44"/>
      <c r="C378" s="41"/>
    </row>
    <row r="379" spans="1:3" x14ac:dyDescent="0.25">
      <c r="A379" s="44"/>
      <c r="B379" s="44"/>
      <c r="C379" s="41"/>
    </row>
    <row r="380" spans="1:3" x14ac:dyDescent="0.25">
      <c r="A380" s="44"/>
      <c r="B380" s="44"/>
      <c r="C380" s="41"/>
    </row>
    <row r="381" spans="1:3" x14ac:dyDescent="0.25">
      <c r="A381" s="44"/>
      <c r="B381" s="44"/>
      <c r="C381" s="41"/>
    </row>
    <row r="382" spans="1:3" x14ac:dyDescent="0.25">
      <c r="A382" s="44"/>
      <c r="B382" s="44"/>
      <c r="C382" s="41"/>
    </row>
    <row r="383" spans="1:3" x14ac:dyDescent="0.25">
      <c r="A383" s="44"/>
      <c r="B383" s="44"/>
      <c r="C383" s="41"/>
    </row>
    <row r="384" spans="1:3" x14ac:dyDescent="0.25">
      <c r="A384" s="44"/>
      <c r="B384" s="44"/>
      <c r="C384" s="41"/>
    </row>
    <row r="385" spans="1:3" x14ac:dyDescent="0.25">
      <c r="A385" s="44"/>
      <c r="B385" s="44"/>
      <c r="C385" s="41"/>
    </row>
    <row r="386" spans="1:3" x14ac:dyDescent="0.25">
      <c r="A386" s="44"/>
      <c r="B386" s="44"/>
      <c r="C386" s="41"/>
    </row>
    <row r="387" spans="1:3" x14ac:dyDescent="0.25">
      <c r="A387" s="44"/>
      <c r="B387" s="44"/>
      <c r="C387" s="41"/>
    </row>
    <row r="388" spans="1:3" x14ac:dyDescent="0.25">
      <c r="A388" s="44"/>
      <c r="B388" s="44"/>
      <c r="C388" s="41"/>
    </row>
    <row r="389" spans="1:3" x14ac:dyDescent="0.25">
      <c r="A389" s="44"/>
      <c r="B389" s="44"/>
      <c r="C389" s="41"/>
    </row>
    <row r="390" spans="1:3" x14ac:dyDescent="0.25">
      <c r="A390" s="44"/>
      <c r="B390" s="44"/>
      <c r="C390" s="41"/>
    </row>
    <row r="391" spans="1:3" x14ac:dyDescent="0.25">
      <c r="A391" s="44"/>
      <c r="B391" s="44"/>
      <c r="C391" s="41"/>
    </row>
    <row r="392" spans="1:3" x14ac:dyDescent="0.25">
      <c r="A392" s="44"/>
      <c r="B392" s="44"/>
      <c r="C392" s="41"/>
    </row>
    <row r="393" spans="1:3" x14ac:dyDescent="0.25">
      <c r="A393" s="44"/>
      <c r="B393" s="44"/>
      <c r="C393" s="41"/>
    </row>
    <row r="394" spans="1:3" x14ac:dyDescent="0.25">
      <c r="A394" s="44"/>
      <c r="B394" s="44"/>
      <c r="C394" s="41"/>
    </row>
    <row r="395" spans="1:3" x14ac:dyDescent="0.25">
      <c r="A395" s="44"/>
      <c r="B395" s="44"/>
      <c r="C395" s="41"/>
    </row>
    <row r="396" spans="1:3" x14ac:dyDescent="0.25">
      <c r="A396" s="44"/>
      <c r="B396" s="44"/>
      <c r="C396" s="41"/>
    </row>
    <row r="397" spans="1:3" x14ac:dyDescent="0.25">
      <c r="A397" s="44"/>
      <c r="B397" s="44"/>
      <c r="C397" s="41"/>
    </row>
    <row r="398" spans="1:3" x14ac:dyDescent="0.25">
      <c r="A398" s="44"/>
      <c r="B398" s="44"/>
      <c r="C398" s="41"/>
    </row>
    <row r="399" spans="1:3" x14ac:dyDescent="0.25">
      <c r="A399" s="44"/>
      <c r="B399" s="44"/>
      <c r="C399" s="41"/>
    </row>
    <row r="400" spans="1:3" x14ac:dyDescent="0.25">
      <c r="A400" s="44"/>
      <c r="B400" s="44"/>
      <c r="C400" s="41"/>
    </row>
    <row r="401" spans="1:3" x14ac:dyDescent="0.25">
      <c r="A401" s="44"/>
      <c r="B401" s="44"/>
      <c r="C401" s="41"/>
    </row>
    <row r="402" spans="1:3" x14ac:dyDescent="0.25">
      <c r="A402" s="44"/>
      <c r="B402" s="44"/>
      <c r="C402" s="41"/>
    </row>
    <row r="403" spans="1:3" x14ac:dyDescent="0.25">
      <c r="A403" s="44"/>
      <c r="B403" s="44"/>
      <c r="C403" s="41"/>
    </row>
    <row r="404" spans="1:3" x14ac:dyDescent="0.25">
      <c r="A404" s="44"/>
      <c r="B404" s="44"/>
      <c r="C404" s="41"/>
    </row>
    <row r="405" spans="1:3" x14ac:dyDescent="0.25">
      <c r="A405" s="44"/>
      <c r="B405" s="44"/>
      <c r="C405" s="41"/>
    </row>
    <row r="406" spans="1:3" x14ac:dyDescent="0.25">
      <c r="A406" s="44"/>
      <c r="B406" s="44"/>
      <c r="C406" s="41"/>
    </row>
    <row r="407" spans="1:3" x14ac:dyDescent="0.25">
      <c r="A407" s="44"/>
      <c r="B407" s="44"/>
      <c r="C407" s="41"/>
    </row>
    <row r="408" spans="1:3" x14ac:dyDescent="0.25">
      <c r="A408" s="44"/>
      <c r="B408" s="44"/>
      <c r="C408" s="41"/>
    </row>
    <row r="409" spans="1:3" x14ac:dyDescent="0.25">
      <c r="A409" s="44"/>
      <c r="B409" s="44"/>
      <c r="C409" s="41"/>
    </row>
    <row r="410" spans="1:3" x14ac:dyDescent="0.25">
      <c r="A410" s="44"/>
      <c r="B410" s="44"/>
      <c r="C410" s="41"/>
    </row>
    <row r="411" spans="1:3" x14ac:dyDescent="0.25">
      <c r="A411" s="44"/>
      <c r="B411" s="44"/>
      <c r="C411" s="41"/>
    </row>
    <row r="412" spans="1:3" x14ac:dyDescent="0.25">
      <c r="A412" s="44"/>
      <c r="B412" s="44"/>
      <c r="C412" s="41"/>
    </row>
    <row r="413" spans="1:3" x14ac:dyDescent="0.25">
      <c r="A413" s="44"/>
      <c r="B413" s="44"/>
      <c r="C413" s="41"/>
    </row>
    <row r="414" spans="1:3" x14ac:dyDescent="0.25">
      <c r="A414" s="44"/>
      <c r="B414" s="44"/>
      <c r="C414" s="41"/>
    </row>
    <row r="415" spans="1:3" x14ac:dyDescent="0.25">
      <c r="A415" s="44"/>
      <c r="B415" s="44"/>
      <c r="C415" s="41"/>
    </row>
    <row r="416" spans="1:3" x14ac:dyDescent="0.25">
      <c r="A416" s="44"/>
      <c r="B416" s="44"/>
      <c r="C416" s="41"/>
    </row>
    <row r="417" spans="1:3" x14ac:dyDescent="0.25">
      <c r="A417" s="44"/>
      <c r="B417" s="44"/>
      <c r="C417" s="41"/>
    </row>
    <row r="418" spans="1:3" x14ac:dyDescent="0.25">
      <c r="A418" s="44"/>
      <c r="B418" s="44"/>
      <c r="C418" s="41"/>
    </row>
    <row r="419" spans="1:3" x14ac:dyDescent="0.25">
      <c r="A419" s="44"/>
      <c r="B419" s="44"/>
      <c r="C419" s="41"/>
    </row>
    <row r="420" spans="1:3" x14ac:dyDescent="0.25">
      <c r="A420" s="44"/>
      <c r="B420" s="44"/>
      <c r="C420" s="41"/>
    </row>
    <row r="421" spans="1:3" x14ac:dyDescent="0.25">
      <c r="A421" s="44"/>
      <c r="B421" s="44"/>
      <c r="C421" s="41"/>
    </row>
    <row r="422" spans="1:3" x14ac:dyDescent="0.25">
      <c r="A422" s="44"/>
      <c r="B422" s="44"/>
      <c r="C422" s="41"/>
    </row>
    <row r="423" spans="1:3" x14ac:dyDescent="0.25">
      <c r="A423" s="44"/>
      <c r="B423" s="44"/>
      <c r="C423" s="41"/>
    </row>
    <row r="424" spans="1:3" x14ac:dyDescent="0.25">
      <c r="A424" s="44"/>
      <c r="B424" s="44"/>
      <c r="C424" s="41"/>
    </row>
    <row r="425" spans="1:3" x14ac:dyDescent="0.25">
      <c r="A425" s="44"/>
      <c r="B425" s="44"/>
      <c r="C425" s="41"/>
    </row>
    <row r="426" spans="1:3" x14ac:dyDescent="0.25">
      <c r="A426" s="44"/>
      <c r="B426" s="44"/>
      <c r="C426" s="41"/>
    </row>
    <row r="427" spans="1:3" x14ac:dyDescent="0.25">
      <c r="A427" s="44"/>
      <c r="B427" s="44"/>
      <c r="C427" s="41"/>
    </row>
    <row r="428" spans="1:3" x14ac:dyDescent="0.25">
      <c r="A428" s="44"/>
      <c r="B428" s="44"/>
      <c r="C428" s="41"/>
    </row>
    <row r="429" spans="1:3" x14ac:dyDescent="0.25">
      <c r="A429" s="44"/>
      <c r="B429" s="44"/>
      <c r="C429" s="41"/>
    </row>
    <row r="430" spans="1:3" x14ac:dyDescent="0.25">
      <c r="A430" s="44"/>
      <c r="B430" s="44"/>
      <c r="C430" s="41"/>
    </row>
    <row r="431" spans="1:3" x14ac:dyDescent="0.25">
      <c r="A431" s="44"/>
      <c r="B431" s="44"/>
      <c r="C431" s="41"/>
    </row>
    <row r="432" spans="1:3" x14ac:dyDescent="0.25">
      <c r="A432" s="44"/>
      <c r="B432" s="44"/>
      <c r="C432" s="41"/>
    </row>
    <row r="433" spans="1:3" x14ac:dyDescent="0.25">
      <c r="A433" s="44"/>
      <c r="B433" s="44"/>
      <c r="C433" s="41"/>
    </row>
    <row r="434" spans="1:3" x14ac:dyDescent="0.25">
      <c r="A434" s="44"/>
      <c r="B434" s="44"/>
      <c r="C434" s="41"/>
    </row>
    <row r="435" spans="1:3" x14ac:dyDescent="0.25">
      <c r="A435" s="44"/>
      <c r="B435" s="44"/>
      <c r="C435" s="41"/>
    </row>
    <row r="436" spans="1:3" x14ac:dyDescent="0.25">
      <c r="A436" s="44"/>
      <c r="B436" s="44"/>
      <c r="C436" s="41"/>
    </row>
    <row r="437" spans="1:3" x14ac:dyDescent="0.25">
      <c r="A437" s="44"/>
      <c r="B437" s="44"/>
      <c r="C437" s="41"/>
    </row>
    <row r="438" spans="1:3" x14ac:dyDescent="0.25">
      <c r="A438" s="44"/>
      <c r="B438" s="44"/>
      <c r="C438" s="41"/>
    </row>
    <row r="439" spans="1:3" x14ac:dyDescent="0.25">
      <c r="A439" s="44"/>
      <c r="B439" s="44"/>
      <c r="C439" s="41"/>
    </row>
    <row r="440" spans="1:3" x14ac:dyDescent="0.25">
      <c r="A440" s="44"/>
      <c r="B440" s="44"/>
      <c r="C440" s="41"/>
    </row>
    <row r="441" spans="1:3" x14ac:dyDescent="0.25">
      <c r="A441" s="44"/>
      <c r="B441" s="44"/>
      <c r="C441" s="41"/>
    </row>
    <row r="442" spans="1:3" x14ac:dyDescent="0.25">
      <c r="A442" s="44"/>
      <c r="B442" s="44"/>
      <c r="C442" s="41"/>
    </row>
    <row r="443" spans="1:3" x14ac:dyDescent="0.25">
      <c r="A443" s="44"/>
      <c r="B443" s="44"/>
      <c r="C443" s="41"/>
    </row>
    <row r="444" spans="1:3" x14ac:dyDescent="0.25">
      <c r="A444" s="44"/>
      <c r="B444" s="44"/>
      <c r="C444" s="41"/>
    </row>
    <row r="445" spans="1:3" x14ac:dyDescent="0.25">
      <c r="A445" s="44"/>
      <c r="B445" s="44"/>
      <c r="C445" s="41"/>
    </row>
    <row r="446" spans="1:3" x14ac:dyDescent="0.25">
      <c r="A446" s="44"/>
      <c r="B446" s="44"/>
      <c r="C446" s="41"/>
    </row>
    <row r="447" spans="1:3" x14ac:dyDescent="0.25">
      <c r="A447" s="44"/>
      <c r="B447" s="44"/>
      <c r="C447" s="41"/>
    </row>
    <row r="448" spans="1:3" x14ac:dyDescent="0.25">
      <c r="A448" s="44"/>
      <c r="B448" s="44"/>
      <c r="C448" s="41"/>
    </row>
    <row r="449" spans="1:3" x14ac:dyDescent="0.25">
      <c r="A449" s="44"/>
      <c r="B449" s="44"/>
      <c r="C449" s="41"/>
    </row>
    <row r="450" spans="1:3" x14ac:dyDescent="0.25">
      <c r="A450" s="44"/>
      <c r="B450" s="44"/>
      <c r="C450" s="41"/>
    </row>
    <row r="451" spans="1:3" x14ac:dyDescent="0.25">
      <c r="A451" s="44"/>
      <c r="B451" s="44"/>
      <c r="C451" s="41"/>
    </row>
    <row r="452" spans="1:3" x14ac:dyDescent="0.25">
      <c r="A452" s="44"/>
      <c r="B452" s="44"/>
      <c r="C452" s="41"/>
    </row>
    <row r="453" spans="1:3" x14ac:dyDescent="0.25">
      <c r="A453" s="44"/>
      <c r="B453" s="44"/>
      <c r="C453" s="41"/>
    </row>
    <row r="454" spans="1:3" x14ac:dyDescent="0.25">
      <c r="A454" s="44"/>
      <c r="B454" s="44"/>
      <c r="C454" s="41"/>
    </row>
    <row r="455" spans="1:3" x14ac:dyDescent="0.25">
      <c r="A455" s="44"/>
      <c r="B455" s="44"/>
      <c r="C455" s="41"/>
    </row>
    <row r="456" spans="1:3" x14ac:dyDescent="0.25">
      <c r="A456" s="44"/>
      <c r="B456" s="44"/>
      <c r="C456" s="41"/>
    </row>
    <row r="457" spans="1:3" x14ac:dyDescent="0.25">
      <c r="A457" s="44"/>
      <c r="B457" s="44"/>
      <c r="C457" s="41"/>
    </row>
    <row r="458" spans="1:3" x14ac:dyDescent="0.25">
      <c r="A458" s="44"/>
      <c r="B458" s="44"/>
      <c r="C458" s="41"/>
    </row>
    <row r="459" spans="1:3" x14ac:dyDescent="0.25">
      <c r="A459" s="44"/>
      <c r="B459" s="44"/>
      <c r="C459" s="41"/>
    </row>
    <row r="460" spans="1:3" x14ac:dyDescent="0.25">
      <c r="A460" s="44"/>
      <c r="B460" s="44"/>
      <c r="C460" s="41"/>
    </row>
    <row r="461" spans="1:3" x14ac:dyDescent="0.25">
      <c r="A461" s="44"/>
      <c r="B461" s="44"/>
      <c r="C461" s="41"/>
    </row>
    <row r="462" spans="1:3" x14ac:dyDescent="0.25">
      <c r="A462" s="44"/>
      <c r="B462" s="44"/>
      <c r="C462" s="41"/>
    </row>
    <row r="463" spans="1:3" x14ac:dyDescent="0.25">
      <c r="A463" s="44"/>
      <c r="B463" s="44"/>
      <c r="C463" s="41"/>
    </row>
    <row r="464" spans="1:3" x14ac:dyDescent="0.25">
      <c r="A464" s="44"/>
      <c r="B464" s="44"/>
      <c r="C464" s="41"/>
    </row>
    <row r="465" spans="1:3" x14ac:dyDescent="0.25">
      <c r="A465" s="44"/>
      <c r="B465" s="44"/>
      <c r="C465" s="41"/>
    </row>
    <row r="466" spans="1:3" x14ac:dyDescent="0.25">
      <c r="A466" s="44"/>
      <c r="B466" s="44"/>
      <c r="C466" s="41"/>
    </row>
    <row r="467" spans="1:3" x14ac:dyDescent="0.25">
      <c r="A467" s="44"/>
      <c r="B467" s="44"/>
      <c r="C467" s="41"/>
    </row>
    <row r="468" spans="1:3" x14ac:dyDescent="0.25">
      <c r="A468" s="44"/>
      <c r="B468" s="44"/>
      <c r="C468" s="41"/>
    </row>
    <row r="469" spans="1:3" x14ac:dyDescent="0.25">
      <c r="A469" s="44"/>
      <c r="B469" s="44"/>
      <c r="C469" s="41"/>
    </row>
    <row r="470" spans="1:3" x14ac:dyDescent="0.25">
      <c r="A470" s="44"/>
      <c r="B470" s="44"/>
      <c r="C470" s="41"/>
    </row>
    <row r="471" spans="1:3" x14ac:dyDescent="0.25">
      <c r="A471" s="44"/>
      <c r="B471" s="44"/>
      <c r="C471" s="41"/>
    </row>
    <row r="472" spans="1:3" x14ac:dyDescent="0.25">
      <c r="A472" s="44"/>
      <c r="B472" s="44"/>
      <c r="C472" s="41"/>
    </row>
    <row r="473" spans="1:3" x14ac:dyDescent="0.25">
      <c r="A473" s="44"/>
      <c r="B473" s="44"/>
      <c r="C473" s="41"/>
    </row>
    <row r="474" spans="1:3" x14ac:dyDescent="0.25">
      <c r="A474" s="44"/>
      <c r="B474" s="44"/>
      <c r="C474" s="41"/>
    </row>
    <row r="475" spans="1:3" x14ac:dyDescent="0.25">
      <c r="A475" s="44"/>
      <c r="B475" s="44"/>
      <c r="C475" s="41"/>
    </row>
    <row r="476" spans="1:3" x14ac:dyDescent="0.25">
      <c r="A476" s="44"/>
      <c r="B476" s="44"/>
      <c r="C476" s="41"/>
    </row>
    <row r="477" spans="1:3" x14ac:dyDescent="0.25">
      <c r="A477" s="44"/>
      <c r="B477" s="44"/>
      <c r="C477" s="41"/>
    </row>
    <row r="478" spans="1:3" x14ac:dyDescent="0.25">
      <c r="A478" s="44"/>
      <c r="B478" s="44"/>
      <c r="C478" s="41"/>
    </row>
    <row r="479" spans="1:3" x14ac:dyDescent="0.25">
      <c r="A479" s="44"/>
      <c r="B479" s="44"/>
      <c r="C479" s="41"/>
    </row>
    <row r="480" spans="1:3" x14ac:dyDescent="0.25">
      <c r="A480" s="44"/>
      <c r="B480" s="44"/>
      <c r="C480" s="41"/>
    </row>
    <row r="481" spans="1:3" x14ac:dyDescent="0.25">
      <c r="A481" s="44"/>
      <c r="B481" s="44"/>
      <c r="C481" s="41"/>
    </row>
    <row r="482" spans="1:3" x14ac:dyDescent="0.25">
      <c r="A482" s="44"/>
      <c r="B482" s="44"/>
      <c r="C482" s="41"/>
    </row>
    <row r="483" spans="1:3" x14ac:dyDescent="0.25">
      <c r="A483" s="44"/>
      <c r="B483" s="44"/>
      <c r="C483" s="41"/>
    </row>
    <row r="484" spans="1:3" x14ac:dyDescent="0.25">
      <c r="A484" s="44"/>
      <c r="B484" s="44"/>
      <c r="C484" s="41"/>
    </row>
    <row r="485" spans="1:3" x14ac:dyDescent="0.25">
      <c r="A485" s="44"/>
      <c r="B485" s="44"/>
      <c r="C485" s="41"/>
    </row>
    <row r="486" spans="1:3" x14ac:dyDescent="0.25">
      <c r="A486" s="44"/>
      <c r="B486" s="44"/>
      <c r="C486" s="41"/>
    </row>
    <row r="487" spans="1:3" x14ac:dyDescent="0.25">
      <c r="A487" s="44"/>
      <c r="B487" s="44"/>
      <c r="C487" s="41"/>
    </row>
    <row r="488" spans="1:3" x14ac:dyDescent="0.25">
      <c r="A488" s="44"/>
      <c r="B488" s="44"/>
      <c r="C488" s="41"/>
    </row>
    <row r="489" spans="1:3" x14ac:dyDescent="0.25">
      <c r="A489" s="44"/>
      <c r="B489" s="44"/>
      <c r="C489" s="41"/>
    </row>
    <row r="490" spans="1:3" x14ac:dyDescent="0.25">
      <c r="A490" s="44"/>
      <c r="B490" s="44"/>
      <c r="C490" s="41"/>
    </row>
    <row r="491" spans="1:3" x14ac:dyDescent="0.25">
      <c r="A491" s="44"/>
      <c r="B491" s="44"/>
      <c r="C491" s="41"/>
    </row>
    <row r="492" spans="1:3" x14ac:dyDescent="0.25">
      <c r="A492" s="44"/>
      <c r="B492" s="44"/>
      <c r="C492" s="41"/>
    </row>
    <row r="493" spans="1:3" x14ac:dyDescent="0.25">
      <c r="A493" s="44"/>
      <c r="B493" s="44"/>
      <c r="C493" s="41"/>
    </row>
    <row r="494" spans="1:3" x14ac:dyDescent="0.25">
      <c r="A494" s="44"/>
      <c r="B494" s="44"/>
      <c r="C494" s="41"/>
    </row>
    <row r="495" spans="1:3" x14ac:dyDescent="0.25">
      <c r="A495" s="44"/>
      <c r="B495" s="44"/>
      <c r="C495" s="41"/>
    </row>
    <row r="496" spans="1:3" x14ac:dyDescent="0.25">
      <c r="A496" s="44"/>
      <c r="B496" s="44"/>
      <c r="C496" s="41"/>
    </row>
    <row r="497" spans="1:3" x14ac:dyDescent="0.25">
      <c r="A497" s="44"/>
      <c r="B497" s="44"/>
      <c r="C497" s="41"/>
    </row>
    <row r="498" spans="1:3" x14ac:dyDescent="0.25">
      <c r="A498" s="44"/>
      <c r="B498" s="44"/>
      <c r="C498" s="41"/>
    </row>
    <row r="499" spans="1:3" x14ac:dyDescent="0.25">
      <c r="A499" s="44"/>
      <c r="B499" s="44"/>
      <c r="C499" s="41"/>
    </row>
    <row r="500" spans="1:3" x14ac:dyDescent="0.25">
      <c r="A500" s="44"/>
      <c r="B500" s="44"/>
      <c r="C500" s="4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 tint="0.39997558519241921"/>
  </sheetPr>
  <dimension ref="A1:E58"/>
  <sheetViews>
    <sheetView workbookViewId="0">
      <selection activeCell="A13" sqref="A13"/>
    </sheetView>
  </sheetViews>
  <sheetFormatPr defaultRowHeight="15" x14ac:dyDescent="0.25"/>
  <sheetData>
    <row r="1" spans="1:5" x14ac:dyDescent="0.25">
      <c r="A1" t="s">
        <v>1</v>
      </c>
      <c r="B1" t="s">
        <v>17</v>
      </c>
      <c r="C1" t="s">
        <v>18</v>
      </c>
      <c r="D1" t="s">
        <v>19</v>
      </c>
      <c r="E1" t="s">
        <v>20</v>
      </c>
    </row>
    <row r="2" spans="1:5" x14ac:dyDescent="0.25">
      <c r="A2" t="s">
        <v>21</v>
      </c>
      <c r="B2">
        <v>1E-4</v>
      </c>
      <c r="C2">
        <v>10</v>
      </c>
      <c r="D2">
        <v>100000</v>
      </c>
      <c r="E2">
        <v>1980</v>
      </c>
    </row>
    <row r="3" spans="1:5" x14ac:dyDescent="0.25">
      <c r="A3" t="s">
        <v>22</v>
      </c>
      <c r="B3">
        <v>1E-4</v>
      </c>
      <c r="C3">
        <v>6.25</v>
      </c>
      <c r="D3">
        <v>62500</v>
      </c>
      <c r="E3">
        <v>3960</v>
      </c>
    </row>
    <row r="4" spans="1:5" x14ac:dyDescent="0.25">
      <c r="A4" t="s">
        <v>23</v>
      </c>
      <c r="B4">
        <v>5.0000000000000002E-5</v>
      </c>
      <c r="C4">
        <v>5</v>
      </c>
      <c r="D4">
        <v>100000</v>
      </c>
      <c r="E4">
        <v>1595</v>
      </c>
    </row>
    <row r="5" spans="1:5" x14ac:dyDescent="0.25">
      <c r="A5" t="s">
        <v>16</v>
      </c>
      <c r="B5">
        <v>5.0000000000000002E-5</v>
      </c>
      <c r="C5">
        <v>6.25</v>
      </c>
      <c r="D5">
        <v>125000</v>
      </c>
      <c r="E5">
        <v>3685</v>
      </c>
    </row>
    <row r="6" spans="1:5" x14ac:dyDescent="0.25">
      <c r="A6" t="s">
        <v>24</v>
      </c>
      <c r="B6">
        <v>4.9999999999999998E-7</v>
      </c>
      <c r="C6">
        <v>6.25</v>
      </c>
      <c r="D6">
        <v>12500000</v>
      </c>
      <c r="E6">
        <v>4510</v>
      </c>
    </row>
    <row r="7" spans="1:5" x14ac:dyDescent="0.25">
      <c r="A7" t="s">
        <v>25</v>
      </c>
      <c r="B7">
        <v>1.0000000000000001E-5</v>
      </c>
      <c r="C7">
        <v>5</v>
      </c>
      <c r="D7">
        <v>500000</v>
      </c>
      <c r="E7">
        <v>1705</v>
      </c>
    </row>
    <row r="8" spans="1:5" x14ac:dyDescent="0.25">
      <c r="A8" t="s">
        <v>26</v>
      </c>
      <c r="B8">
        <v>1E-4</v>
      </c>
      <c r="C8">
        <v>10</v>
      </c>
      <c r="D8">
        <v>100000</v>
      </c>
      <c r="E8">
        <v>2090</v>
      </c>
    </row>
    <row r="9" spans="1:5" x14ac:dyDescent="0.25">
      <c r="A9" t="s">
        <v>27</v>
      </c>
      <c r="B9">
        <v>1E-4</v>
      </c>
      <c r="C9">
        <v>12.5</v>
      </c>
      <c r="D9">
        <v>125000</v>
      </c>
      <c r="E9">
        <v>3960</v>
      </c>
    </row>
    <row r="10" spans="1:5" x14ac:dyDescent="0.25">
      <c r="A10" t="s">
        <v>28</v>
      </c>
      <c r="B10">
        <v>0.01</v>
      </c>
      <c r="C10">
        <v>10</v>
      </c>
      <c r="D10">
        <v>1000</v>
      </c>
      <c r="E10">
        <v>3300</v>
      </c>
    </row>
    <row r="11" spans="1:5" x14ac:dyDescent="0.25">
      <c r="A11" t="s">
        <v>29</v>
      </c>
      <c r="B11">
        <v>1</v>
      </c>
      <c r="C11">
        <v>10</v>
      </c>
      <c r="D11">
        <v>10</v>
      </c>
      <c r="E11">
        <v>1815</v>
      </c>
    </row>
    <row r="12" spans="1:5" x14ac:dyDescent="0.25">
      <c r="A12" t="s">
        <v>30</v>
      </c>
      <c r="B12">
        <v>0.01</v>
      </c>
      <c r="C12">
        <v>10</v>
      </c>
      <c r="D12">
        <v>1000</v>
      </c>
      <c r="E12">
        <v>3190</v>
      </c>
    </row>
    <row r="13" spans="1:5" x14ac:dyDescent="0.25">
      <c r="A13" t="s">
        <v>31</v>
      </c>
      <c r="B13">
        <v>0.01</v>
      </c>
      <c r="C13">
        <v>5</v>
      </c>
      <c r="D13">
        <v>500</v>
      </c>
      <c r="E13">
        <v>1760</v>
      </c>
    </row>
    <row r="14" spans="1:5" x14ac:dyDescent="0.25">
      <c r="A14" t="s">
        <v>32</v>
      </c>
      <c r="B14">
        <v>5.0000000000000001E-3</v>
      </c>
      <c r="C14">
        <v>5</v>
      </c>
      <c r="D14">
        <v>1000</v>
      </c>
      <c r="E14">
        <v>1980</v>
      </c>
    </row>
    <row r="15" spans="1:5" x14ac:dyDescent="0.25">
      <c r="A15" t="s">
        <v>33</v>
      </c>
      <c r="B15">
        <v>1E-4</v>
      </c>
      <c r="C15">
        <v>6.25</v>
      </c>
      <c r="D15">
        <v>62500</v>
      </c>
      <c r="E15">
        <v>1842.5</v>
      </c>
    </row>
    <row r="16" spans="1:5" x14ac:dyDescent="0.25">
      <c r="A16" t="s">
        <v>34</v>
      </c>
      <c r="B16">
        <v>0.1</v>
      </c>
      <c r="C16">
        <v>10</v>
      </c>
      <c r="D16">
        <v>100</v>
      </c>
      <c r="E16">
        <v>6820</v>
      </c>
    </row>
    <row r="17" spans="1:5" x14ac:dyDescent="0.25">
      <c r="A17" t="s">
        <v>35</v>
      </c>
      <c r="B17">
        <v>0.25</v>
      </c>
      <c r="C17">
        <v>12.5</v>
      </c>
      <c r="D17">
        <v>50</v>
      </c>
      <c r="E17">
        <v>4950</v>
      </c>
    </row>
    <row r="18" spans="1:5" x14ac:dyDescent="0.25">
      <c r="A18" t="s">
        <v>36</v>
      </c>
      <c r="B18">
        <v>0.1</v>
      </c>
      <c r="C18">
        <v>10</v>
      </c>
      <c r="D18">
        <v>100</v>
      </c>
      <c r="E18">
        <v>5940</v>
      </c>
    </row>
    <row r="19" spans="1:5" x14ac:dyDescent="0.25">
      <c r="A19" t="s">
        <v>37</v>
      </c>
      <c r="B19">
        <v>5.0000000000000001E-3</v>
      </c>
      <c r="C19">
        <v>12.5</v>
      </c>
      <c r="D19">
        <v>2500</v>
      </c>
      <c r="E19">
        <v>247.5</v>
      </c>
    </row>
    <row r="20" spans="1:5" x14ac:dyDescent="0.25">
      <c r="A20" t="s">
        <v>38</v>
      </c>
      <c r="B20">
        <v>2.5000000000000001E-2</v>
      </c>
      <c r="C20">
        <v>12.5</v>
      </c>
      <c r="D20">
        <v>500</v>
      </c>
      <c r="E20">
        <v>3712.5</v>
      </c>
    </row>
    <row r="21" spans="1:5" x14ac:dyDescent="0.25">
      <c r="A21" t="s">
        <v>39</v>
      </c>
      <c r="B21">
        <v>2.5000000000000001E-3</v>
      </c>
      <c r="C21">
        <v>6.25</v>
      </c>
      <c r="D21">
        <v>2500</v>
      </c>
      <c r="E21">
        <v>253</v>
      </c>
    </row>
    <row r="22" spans="1:5" x14ac:dyDescent="0.25">
      <c r="A22" t="s">
        <v>40</v>
      </c>
      <c r="B22">
        <v>2.5000000000000001E-2</v>
      </c>
      <c r="C22">
        <v>10</v>
      </c>
      <c r="D22">
        <v>400</v>
      </c>
      <c r="E22">
        <v>1320</v>
      </c>
    </row>
    <row r="23" spans="1:5" x14ac:dyDescent="0.25">
      <c r="A23" t="s">
        <v>41</v>
      </c>
      <c r="B23">
        <v>5.0000000000000001E-3</v>
      </c>
      <c r="C23">
        <v>12.5</v>
      </c>
      <c r="D23">
        <v>2500</v>
      </c>
      <c r="E23">
        <v>2530</v>
      </c>
    </row>
    <row r="24" spans="1:5" x14ac:dyDescent="0.25">
      <c r="A24" t="s">
        <v>42</v>
      </c>
      <c r="B24">
        <v>1E-4</v>
      </c>
      <c r="C24">
        <v>4.2</v>
      </c>
      <c r="D24">
        <v>42000</v>
      </c>
      <c r="E24">
        <v>4290</v>
      </c>
    </row>
    <row r="25" spans="1:5" x14ac:dyDescent="0.25">
      <c r="A25" t="s">
        <v>43</v>
      </c>
      <c r="B25">
        <v>9.9999999999999995E-7</v>
      </c>
      <c r="C25">
        <v>6.25</v>
      </c>
      <c r="D25">
        <v>6250000</v>
      </c>
      <c r="E25">
        <v>2255</v>
      </c>
    </row>
    <row r="26" spans="1:5" x14ac:dyDescent="0.25">
      <c r="A26" t="s">
        <v>44</v>
      </c>
      <c r="B26">
        <v>0.05</v>
      </c>
      <c r="C26">
        <v>18.75</v>
      </c>
      <c r="D26">
        <v>375</v>
      </c>
      <c r="E26">
        <v>3135</v>
      </c>
    </row>
    <row r="27" spans="1:5" x14ac:dyDescent="0.25">
      <c r="A27" t="s">
        <v>45</v>
      </c>
      <c r="B27">
        <v>0.25</v>
      </c>
      <c r="C27">
        <v>12.5</v>
      </c>
      <c r="D27">
        <v>50</v>
      </c>
      <c r="E27">
        <v>1320</v>
      </c>
    </row>
    <row r="28" spans="1:5" x14ac:dyDescent="0.25">
      <c r="A28" t="s">
        <v>46</v>
      </c>
      <c r="B28">
        <v>0.1</v>
      </c>
      <c r="C28">
        <v>11</v>
      </c>
      <c r="D28">
        <v>110</v>
      </c>
      <c r="E28">
        <v>1540</v>
      </c>
    </row>
    <row r="29" spans="1:5" x14ac:dyDescent="0.25">
      <c r="A29" t="s">
        <v>47</v>
      </c>
      <c r="B29">
        <v>2.5000000000000001E-2</v>
      </c>
      <c r="C29">
        <v>10</v>
      </c>
      <c r="D29">
        <v>400</v>
      </c>
      <c r="E29">
        <v>1980</v>
      </c>
    </row>
    <row r="30" spans="1:5" x14ac:dyDescent="0.25">
      <c r="A30" t="s">
        <v>48</v>
      </c>
      <c r="B30">
        <v>1E-4</v>
      </c>
      <c r="C30">
        <v>1</v>
      </c>
      <c r="D30">
        <v>10000</v>
      </c>
      <c r="E30">
        <v>198</v>
      </c>
    </row>
    <row r="31" spans="1:5" x14ac:dyDescent="0.25">
      <c r="A31" t="s">
        <v>49</v>
      </c>
      <c r="B31">
        <v>1E-4</v>
      </c>
      <c r="C31">
        <v>0.63</v>
      </c>
      <c r="D31">
        <v>6300</v>
      </c>
      <c r="E31">
        <v>396</v>
      </c>
    </row>
    <row r="32" spans="1:5" x14ac:dyDescent="0.25">
      <c r="A32" t="s">
        <v>50</v>
      </c>
      <c r="B32">
        <v>1E-4</v>
      </c>
      <c r="C32">
        <v>1.25</v>
      </c>
      <c r="D32">
        <v>12500</v>
      </c>
      <c r="E32">
        <v>368.5</v>
      </c>
    </row>
    <row r="33" spans="1:5" x14ac:dyDescent="0.25">
      <c r="A33" t="s">
        <v>51</v>
      </c>
      <c r="B33">
        <v>1E-3</v>
      </c>
      <c r="C33">
        <v>10</v>
      </c>
      <c r="D33">
        <v>10000</v>
      </c>
      <c r="E33">
        <v>2580</v>
      </c>
    </row>
    <row r="34" spans="1:5" x14ac:dyDescent="0.25">
      <c r="A34" t="s">
        <v>52</v>
      </c>
      <c r="B34">
        <v>5</v>
      </c>
      <c r="C34">
        <v>25</v>
      </c>
      <c r="D34">
        <v>5</v>
      </c>
      <c r="E34">
        <v>6050</v>
      </c>
    </row>
    <row r="35" spans="1:5" x14ac:dyDescent="0.25">
      <c r="A35" t="s">
        <v>53</v>
      </c>
      <c r="B35">
        <v>0.25</v>
      </c>
      <c r="C35">
        <v>5</v>
      </c>
      <c r="D35">
        <v>20</v>
      </c>
      <c r="E35">
        <v>3960</v>
      </c>
    </row>
    <row r="36" spans="1:5" x14ac:dyDescent="0.25">
      <c r="A36" t="s">
        <v>54</v>
      </c>
      <c r="B36">
        <v>0.05</v>
      </c>
      <c r="C36">
        <v>7.5</v>
      </c>
      <c r="D36">
        <v>150</v>
      </c>
      <c r="E36">
        <v>2088.9</v>
      </c>
    </row>
    <row r="37" spans="1:5" x14ac:dyDescent="0.25">
      <c r="A37" t="s">
        <v>55</v>
      </c>
      <c r="B37">
        <v>0.05</v>
      </c>
      <c r="C37">
        <v>5</v>
      </c>
      <c r="D37">
        <v>100</v>
      </c>
      <c r="E37">
        <v>3850</v>
      </c>
    </row>
    <row r="38" spans="1:5" x14ac:dyDescent="0.25">
      <c r="A38" t="s">
        <v>56</v>
      </c>
      <c r="B38">
        <v>0.1</v>
      </c>
      <c r="C38">
        <v>5</v>
      </c>
      <c r="D38">
        <v>50</v>
      </c>
      <c r="E38">
        <v>2640</v>
      </c>
    </row>
    <row r="39" spans="1:5" x14ac:dyDescent="0.25">
      <c r="A39" t="s">
        <v>57</v>
      </c>
      <c r="B39">
        <v>5.0000000000000001E-3</v>
      </c>
      <c r="C39">
        <v>12.5</v>
      </c>
      <c r="D39">
        <v>2500</v>
      </c>
      <c r="E39">
        <v>646.79999999999995</v>
      </c>
    </row>
    <row r="40" spans="1:5" x14ac:dyDescent="0.25">
      <c r="A40" t="s">
        <v>58</v>
      </c>
      <c r="B40">
        <v>2.5000000000000001E-2</v>
      </c>
      <c r="C40">
        <v>12.5</v>
      </c>
      <c r="D40">
        <v>500</v>
      </c>
      <c r="E40">
        <v>1595</v>
      </c>
    </row>
    <row r="41" spans="1:5" x14ac:dyDescent="0.25">
      <c r="A41" t="s">
        <v>59</v>
      </c>
      <c r="B41">
        <v>1E-4</v>
      </c>
      <c r="C41">
        <v>4.2</v>
      </c>
      <c r="D41">
        <v>42000</v>
      </c>
      <c r="E41">
        <v>4620</v>
      </c>
    </row>
    <row r="42" spans="1:5" x14ac:dyDescent="0.25">
      <c r="A42" t="s">
        <v>60</v>
      </c>
      <c r="B42">
        <v>0.01</v>
      </c>
      <c r="C42">
        <v>11.2</v>
      </c>
      <c r="D42">
        <v>1120</v>
      </c>
      <c r="E42">
        <v>1663.2</v>
      </c>
    </row>
    <row r="43" spans="1:5" x14ac:dyDescent="0.25">
      <c r="A43" t="s">
        <v>61</v>
      </c>
      <c r="B43">
        <v>5.0000000000000001E-3</v>
      </c>
      <c r="C43">
        <v>25</v>
      </c>
      <c r="D43">
        <v>5000</v>
      </c>
      <c r="E43">
        <v>5775</v>
      </c>
    </row>
    <row r="44" spans="1:5" x14ac:dyDescent="0.25">
      <c r="A44" t="s">
        <v>62</v>
      </c>
      <c r="B44">
        <v>0.1</v>
      </c>
      <c r="C44">
        <v>10</v>
      </c>
      <c r="D44">
        <v>100</v>
      </c>
      <c r="E44">
        <v>6490</v>
      </c>
    </row>
    <row r="45" spans="1:5" x14ac:dyDescent="0.25">
      <c r="A45" t="s">
        <v>63</v>
      </c>
      <c r="B45">
        <v>0.05</v>
      </c>
      <c r="C45">
        <v>50</v>
      </c>
      <c r="D45">
        <v>1000</v>
      </c>
      <c r="E45">
        <v>6215</v>
      </c>
    </row>
    <row r="46" spans="1:5" x14ac:dyDescent="0.25">
      <c r="A46" t="s">
        <v>64</v>
      </c>
      <c r="B46">
        <v>0.125</v>
      </c>
      <c r="C46">
        <v>1.25</v>
      </c>
      <c r="D46">
        <v>10</v>
      </c>
      <c r="E46">
        <v>231</v>
      </c>
    </row>
    <row r="47" spans="1:5" x14ac:dyDescent="0.25">
      <c r="A47" t="s">
        <v>65</v>
      </c>
      <c r="B47">
        <v>0.125</v>
      </c>
      <c r="C47">
        <v>1.25</v>
      </c>
      <c r="D47">
        <v>10</v>
      </c>
      <c r="E47">
        <v>594</v>
      </c>
    </row>
    <row r="48" spans="1:5" x14ac:dyDescent="0.25">
      <c r="A48" t="s">
        <v>15</v>
      </c>
      <c r="B48">
        <v>0.125</v>
      </c>
      <c r="C48">
        <v>1.25</v>
      </c>
      <c r="D48">
        <v>10</v>
      </c>
      <c r="E48">
        <v>264</v>
      </c>
    </row>
    <row r="49" spans="1:5" x14ac:dyDescent="0.25">
      <c r="A49" t="s">
        <v>66</v>
      </c>
      <c r="B49">
        <v>0.1</v>
      </c>
      <c r="C49">
        <v>3.22</v>
      </c>
      <c r="D49">
        <v>32.200000000000003</v>
      </c>
      <c r="E49">
        <v>2121.9</v>
      </c>
    </row>
    <row r="50" spans="1:5" x14ac:dyDescent="0.25">
      <c r="A50" t="s">
        <v>67</v>
      </c>
      <c r="B50">
        <v>1E-3</v>
      </c>
      <c r="C50">
        <v>1</v>
      </c>
      <c r="D50">
        <v>1000</v>
      </c>
      <c r="E50">
        <v>1628</v>
      </c>
    </row>
    <row r="51" spans="1:5" x14ac:dyDescent="0.25">
      <c r="A51" t="s">
        <v>68</v>
      </c>
      <c r="B51">
        <v>1</v>
      </c>
      <c r="C51">
        <v>5</v>
      </c>
      <c r="D51">
        <v>5</v>
      </c>
      <c r="E51">
        <v>3905</v>
      </c>
    </row>
    <row r="52" spans="1:5" x14ac:dyDescent="0.25">
      <c r="A52" t="s">
        <v>69</v>
      </c>
      <c r="B52">
        <v>0.25</v>
      </c>
      <c r="C52">
        <v>12.5</v>
      </c>
      <c r="D52">
        <v>50</v>
      </c>
      <c r="E52">
        <v>1155</v>
      </c>
    </row>
    <row r="53" spans="1:5" x14ac:dyDescent="0.25">
      <c r="A53" t="s">
        <v>70</v>
      </c>
      <c r="B53">
        <v>0.01</v>
      </c>
      <c r="C53">
        <v>6</v>
      </c>
      <c r="D53">
        <v>600</v>
      </c>
      <c r="E53">
        <v>825</v>
      </c>
    </row>
    <row r="54" spans="1:5" x14ac:dyDescent="0.25">
      <c r="A54" t="s">
        <v>71</v>
      </c>
      <c r="B54">
        <v>0.1</v>
      </c>
      <c r="C54">
        <v>10</v>
      </c>
      <c r="D54">
        <v>100</v>
      </c>
      <c r="E54">
        <v>2475</v>
      </c>
    </row>
    <row r="55" spans="1:5" x14ac:dyDescent="0.25">
      <c r="A55" t="s">
        <v>72</v>
      </c>
      <c r="B55">
        <v>0.25</v>
      </c>
      <c r="C55">
        <v>12.5</v>
      </c>
      <c r="D55">
        <v>50</v>
      </c>
      <c r="E55">
        <v>770</v>
      </c>
    </row>
    <row r="56" spans="1:5" x14ac:dyDescent="0.25">
      <c r="A56" t="s">
        <v>73</v>
      </c>
      <c r="B56">
        <v>5.0000000000000001E-3</v>
      </c>
      <c r="C56">
        <v>20.84</v>
      </c>
      <c r="D56">
        <v>4168</v>
      </c>
      <c r="E56">
        <v>198</v>
      </c>
    </row>
    <row r="57" spans="1:5" x14ac:dyDescent="0.25">
      <c r="A57" t="s">
        <v>74</v>
      </c>
      <c r="B57">
        <v>0.25</v>
      </c>
      <c r="C57">
        <v>12.5</v>
      </c>
      <c r="D57">
        <v>50</v>
      </c>
      <c r="E57">
        <v>2970</v>
      </c>
    </row>
    <row r="58" spans="1:5" x14ac:dyDescent="0.25">
      <c r="A58" t="s">
        <v>75</v>
      </c>
      <c r="B58">
        <v>0.25</v>
      </c>
      <c r="C58">
        <v>12.5</v>
      </c>
      <c r="D58">
        <v>50</v>
      </c>
      <c r="E58">
        <v>1320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E60"/>
  <sheetViews>
    <sheetView workbookViewId="0">
      <selection activeCell="A4" sqref="A4:A9"/>
    </sheetView>
  </sheetViews>
  <sheetFormatPr defaultRowHeight="15" x14ac:dyDescent="0.25"/>
  <cols>
    <col min="1" max="1" width="17.28515625" style="6" bestFit="1" customWidth="1"/>
    <col min="2" max="2" width="12.85546875" style="6" bestFit="1" customWidth="1"/>
    <col min="3" max="3" width="6.5703125" style="6" bestFit="1" customWidth="1"/>
    <col min="4" max="16384" width="9.140625" style="6"/>
  </cols>
  <sheetData>
    <row r="1" spans="1:5" x14ac:dyDescent="0.25">
      <c r="E1" s="1">
        <f>VLOOKUP(E2, Reference!$A$2:$E$58, 4, FALSE)</f>
        <v>500</v>
      </c>
    </row>
    <row r="2" spans="1:5" x14ac:dyDescent="0.25">
      <c r="A2" s="7"/>
      <c r="E2" s="1" t="s">
        <v>58</v>
      </c>
    </row>
    <row r="3" spans="1:5" x14ac:dyDescent="0.25">
      <c r="A3" s="7" t="s">
        <v>76</v>
      </c>
      <c r="B3" s="7" t="s">
        <v>84</v>
      </c>
      <c r="C3" s="7" t="s">
        <v>85</v>
      </c>
    </row>
    <row r="4" spans="1:5" x14ac:dyDescent="0.25">
      <c r="A4" s="6" t="s">
        <v>21</v>
      </c>
      <c r="B4" s="6" t="s">
        <v>21</v>
      </c>
      <c r="C4" s="6" t="s">
        <v>21</v>
      </c>
    </row>
    <row r="5" spans="1:5" x14ac:dyDescent="0.25">
      <c r="A5" s="6" t="s">
        <v>23</v>
      </c>
      <c r="B5" s="6" t="s">
        <v>22</v>
      </c>
      <c r="C5" s="6" t="s">
        <v>23</v>
      </c>
    </row>
    <row r="6" spans="1:5" x14ac:dyDescent="0.25">
      <c r="A6" s="6" t="s">
        <v>25</v>
      </c>
      <c r="B6" s="6" t="s">
        <v>23</v>
      </c>
      <c r="C6" s="6" t="s">
        <v>25</v>
      </c>
    </row>
    <row r="7" spans="1:5" x14ac:dyDescent="0.25">
      <c r="A7" s="6" t="s">
        <v>26</v>
      </c>
      <c r="B7" s="6" t="s">
        <v>16</v>
      </c>
      <c r="C7" s="6" t="s">
        <v>26</v>
      </c>
    </row>
    <row r="8" spans="1:5" x14ac:dyDescent="0.25">
      <c r="A8" s="6" t="s">
        <v>29</v>
      </c>
      <c r="B8" s="6" t="s">
        <v>24</v>
      </c>
      <c r="C8" s="6" t="s">
        <v>29</v>
      </c>
    </row>
    <row r="9" spans="1:5" x14ac:dyDescent="0.25">
      <c r="A9" s="6" t="s">
        <v>31</v>
      </c>
      <c r="B9" s="6" t="s">
        <v>25</v>
      </c>
      <c r="C9" s="6" t="s">
        <v>31</v>
      </c>
    </row>
    <row r="10" spans="1:5" x14ac:dyDescent="0.25">
      <c r="A10" s="6" t="s">
        <v>32</v>
      </c>
      <c r="B10" s="6" t="s">
        <v>26</v>
      </c>
      <c r="C10" s="6" t="s">
        <v>32</v>
      </c>
    </row>
    <row r="11" spans="1:5" x14ac:dyDescent="0.25">
      <c r="A11" s="6" t="s">
        <v>33</v>
      </c>
      <c r="B11" s="6" t="s">
        <v>27</v>
      </c>
      <c r="C11" s="6" t="s">
        <v>33</v>
      </c>
    </row>
    <row r="12" spans="1:5" x14ac:dyDescent="0.25">
      <c r="A12" s="6" t="s">
        <v>37</v>
      </c>
      <c r="B12" s="6" t="s">
        <v>28</v>
      </c>
      <c r="C12" s="6" t="s">
        <v>37</v>
      </c>
    </row>
    <row r="13" spans="1:5" x14ac:dyDescent="0.25">
      <c r="A13" s="6" t="s">
        <v>39</v>
      </c>
      <c r="B13" s="6" t="s">
        <v>29</v>
      </c>
      <c r="C13" s="6" t="s">
        <v>39</v>
      </c>
    </row>
    <row r="14" spans="1:5" x14ac:dyDescent="0.25">
      <c r="A14" s="6" t="s">
        <v>40</v>
      </c>
      <c r="B14" s="6" t="s">
        <v>30</v>
      </c>
      <c r="C14" s="6" t="s">
        <v>40</v>
      </c>
    </row>
    <row r="15" spans="1:5" x14ac:dyDescent="0.25">
      <c r="A15" s="6" t="s">
        <v>43</v>
      </c>
      <c r="B15" s="6" t="s">
        <v>31</v>
      </c>
      <c r="C15" s="6" t="s">
        <v>43</v>
      </c>
    </row>
    <row r="16" spans="1:5" x14ac:dyDescent="0.25">
      <c r="A16" s="6" t="s">
        <v>45</v>
      </c>
      <c r="B16" s="6" t="s">
        <v>32</v>
      </c>
      <c r="C16" s="6" t="s">
        <v>45</v>
      </c>
    </row>
    <row r="17" spans="1:3" x14ac:dyDescent="0.25">
      <c r="A17" s="6" t="s">
        <v>46</v>
      </c>
      <c r="B17" s="6" t="s">
        <v>33</v>
      </c>
      <c r="C17" s="6" t="s">
        <v>46</v>
      </c>
    </row>
    <row r="18" spans="1:3" x14ac:dyDescent="0.25">
      <c r="A18" s="6" t="s">
        <v>47</v>
      </c>
      <c r="B18" s="6" t="s">
        <v>34</v>
      </c>
      <c r="C18" s="6" t="s">
        <v>47</v>
      </c>
    </row>
    <row r="19" spans="1:3" x14ac:dyDescent="0.25">
      <c r="A19" s="6" t="s">
        <v>48</v>
      </c>
      <c r="B19" s="6" t="s">
        <v>35</v>
      </c>
      <c r="C19" s="6" t="s">
        <v>48</v>
      </c>
    </row>
    <row r="20" spans="1:3" x14ac:dyDescent="0.25">
      <c r="A20" s="6" t="s">
        <v>49</v>
      </c>
      <c r="B20" s="6" t="s">
        <v>36</v>
      </c>
      <c r="C20" s="6" t="s">
        <v>49</v>
      </c>
    </row>
    <row r="21" spans="1:3" x14ac:dyDescent="0.25">
      <c r="A21" s="6" t="s">
        <v>50</v>
      </c>
      <c r="B21" s="6" t="s">
        <v>37</v>
      </c>
      <c r="C21" s="6" t="s">
        <v>50</v>
      </c>
    </row>
    <row r="22" spans="1:3" x14ac:dyDescent="0.25">
      <c r="A22" s="6" t="s">
        <v>54</v>
      </c>
      <c r="B22" s="6" t="s">
        <v>38</v>
      </c>
      <c r="C22" s="6" t="s">
        <v>54</v>
      </c>
    </row>
    <row r="23" spans="1:3" x14ac:dyDescent="0.25">
      <c r="A23" s="6" t="s">
        <v>57</v>
      </c>
      <c r="B23" s="6" t="s">
        <v>39</v>
      </c>
      <c r="C23" s="6" t="s">
        <v>57</v>
      </c>
    </row>
    <row r="24" spans="1:3" x14ac:dyDescent="0.25">
      <c r="A24" s="6" t="s">
        <v>58</v>
      </c>
      <c r="B24" s="6" t="s">
        <v>40</v>
      </c>
      <c r="C24" s="6" t="s">
        <v>58</v>
      </c>
    </row>
    <row r="25" spans="1:3" x14ac:dyDescent="0.25">
      <c r="A25" s="6" t="s">
        <v>60</v>
      </c>
      <c r="B25" s="6" t="s">
        <v>41</v>
      </c>
      <c r="C25" s="6" t="s">
        <v>60</v>
      </c>
    </row>
    <row r="26" spans="1:3" x14ac:dyDescent="0.25">
      <c r="A26" s="6" t="s">
        <v>64</v>
      </c>
      <c r="B26" s="6" t="s">
        <v>42</v>
      </c>
      <c r="C26" s="6" t="s">
        <v>64</v>
      </c>
    </row>
    <row r="27" spans="1:3" x14ac:dyDescent="0.25">
      <c r="A27" s="6" t="s">
        <v>65</v>
      </c>
      <c r="B27" s="6" t="s">
        <v>43</v>
      </c>
      <c r="C27" s="6" t="s">
        <v>65</v>
      </c>
    </row>
    <row r="28" spans="1:3" x14ac:dyDescent="0.25">
      <c r="A28" s="6" t="s">
        <v>15</v>
      </c>
      <c r="B28" s="6" t="s">
        <v>44</v>
      </c>
      <c r="C28" s="6" t="s">
        <v>15</v>
      </c>
    </row>
    <row r="29" spans="1:3" x14ac:dyDescent="0.25">
      <c r="A29" s="6" t="s">
        <v>66</v>
      </c>
      <c r="B29" s="6" t="s">
        <v>45</v>
      </c>
      <c r="C29" s="6" t="s">
        <v>66</v>
      </c>
    </row>
    <row r="30" spans="1:3" x14ac:dyDescent="0.25">
      <c r="A30" s="6" t="s">
        <v>67</v>
      </c>
      <c r="B30" s="6" t="s">
        <v>46</v>
      </c>
      <c r="C30" s="6" t="s">
        <v>67</v>
      </c>
    </row>
    <row r="31" spans="1:3" x14ac:dyDescent="0.25">
      <c r="A31" s="6" t="s">
        <v>69</v>
      </c>
      <c r="B31" s="6" t="s">
        <v>47</v>
      </c>
      <c r="C31" s="6" t="s">
        <v>69</v>
      </c>
    </row>
    <row r="32" spans="1:3" x14ac:dyDescent="0.25">
      <c r="A32" s="6" t="s">
        <v>70</v>
      </c>
      <c r="B32" s="6" t="s">
        <v>48</v>
      </c>
      <c r="C32" s="6" t="s">
        <v>70</v>
      </c>
    </row>
    <row r="33" spans="1:3" x14ac:dyDescent="0.25">
      <c r="A33" s="6" t="s">
        <v>71</v>
      </c>
      <c r="B33" s="6" t="s">
        <v>49</v>
      </c>
      <c r="C33" s="6" t="s">
        <v>71</v>
      </c>
    </row>
    <row r="34" spans="1:3" x14ac:dyDescent="0.25">
      <c r="A34" s="6" t="s">
        <v>72</v>
      </c>
      <c r="B34" s="6" t="s">
        <v>50</v>
      </c>
      <c r="C34" s="6" t="s">
        <v>72</v>
      </c>
    </row>
    <row r="35" spans="1:3" x14ac:dyDescent="0.25">
      <c r="A35" s="6" t="s">
        <v>73</v>
      </c>
      <c r="B35" s="6" t="s">
        <v>51</v>
      </c>
      <c r="C35" s="6" t="s">
        <v>73</v>
      </c>
    </row>
    <row r="36" spans="1:3" x14ac:dyDescent="0.25">
      <c r="A36" s="6" t="s">
        <v>75</v>
      </c>
      <c r="B36" s="6" t="s">
        <v>52</v>
      </c>
      <c r="C36" s="6" t="s">
        <v>55</v>
      </c>
    </row>
    <row r="37" spans="1:3" x14ac:dyDescent="0.25">
      <c r="B37" s="6" t="s">
        <v>53</v>
      </c>
      <c r="C37" s="6" t="s">
        <v>56</v>
      </c>
    </row>
    <row r="38" spans="1:3" x14ac:dyDescent="0.25">
      <c r="B38" s="6" t="s">
        <v>54</v>
      </c>
      <c r="C38" s="6" t="s">
        <v>57</v>
      </c>
    </row>
    <row r="39" spans="1:3" x14ac:dyDescent="0.25">
      <c r="B39" s="6" t="s">
        <v>55</v>
      </c>
      <c r="C39" s="6" t="s">
        <v>58</v>
      </c>
    </row>
    <row r="40" spans="1:3" x14ac:dyDescent="0.25">
      <c r="B40" s="6" t="s">
        <v>56</v>
      </c>
      <c r="C40" s="6" t="s">
        <v>59</v>
      </c>
    </row>
    <row r="41" spans="1:3" x14ac:dyDescent="0.25">
      <c r="B41" s="6" t="s">
        <v>57</v>
      </c>
      <c r="C41" s="6" t="s">
        <v>60</v>
      </c>
    </row>
    <row r="42" spans="1:3" x14ac:dyDescent="0.25">
      <c r="B42" s="6" t="s">
        <v>58</v>
      </c>
      <c r="C42" s="6" t="s">
        <v>64</v>
      </c>
    </row>
    <row r="43" spans="1:3" x14ac:dyDescent="0.25">
      <c r="B43" s="6" t="s">
        <v>59</v>
      </c>
      <c r="C43" s="6" t="s">
        <v>65</v>
      </c>
    </row>
    <row r="44" spans="1:3" x14ac:dyDescent="0.25">
      <c r="B44" s="6" t="s">
        <v>60</v>
      </c>
      <c r="C44" s="6" t="s">
        <v>15</v>
      </c>
    </row>
    <row r="45" spans="1:3" x14ac:dyDescent="0.25">
      <c r="B45" s="6" t="s">
        <v>61</v>
      </c>
      <c r="C45" s="6" t="s">
        <v>66</v>
      </c>
    </row>
    <row r="46" spans="1:3" x14ac:dyDescent="0.25">
      <c r="B46" s="6" t="s">
        <v>62</v>
      </c>
      <c r="C46" s="6" t="s">
        <v>67</v>
      </c>
    </row>
    <row r="47" spans="1:3" x14ac:dyDescent="0.25">
      <c r="B47" s="6" t="s">
        <v>63</v>
      </c>
      <c r="C47" s="6" t="s">
        <v>68</v>
      </c>
    </row>
    <row r="48" spans="1:3" x14ac:dyDescent="0.25">
      <c r="B48" s="6" t="s">
        <v>64</v>
      </c>
      <c r="C48" s="6" t="s">
        <v>69</v>
      </c>
    </row>
    <row r="49" spans="2:3" x14ac:dyDescent="0.25">
      <c r="B49" s="6" t="s">
        <v>65</v>
      </c>
      <c r="C49" s="6" t="s">
        <v>70</v>
      </c>
    </row>
    <row r="50" spans="2:3" x14ac:dyDescent="0.25">
      <c r="B50" s="6" t="s">
        <v>15</v>
      </c>
      <c r="C50" s="6" t="s">
        <v>71</v>
      </c>
    </row>
    <row r="51" spans="2:3" x14ac:dyDescent="0.25">
      <c r="B51" s="6" t="s">
        <v>66</v>
      </c>
      <c r="C51" s="6" t="s">
        <v>72</v>
      </c>
    </row>
    <row r="52" spans="2:3" x14ac:dyDescent="0.25">
      <c r="B52" s="6" t="s">
        <v>67</v>
      </c>
      <c r="C52" s="6" t="s">
        <v>73</v>
      </c>
    </row>
    <row r="53" spans="2:3" x14ac:dyDescent="0.25">
      <c r="B53" s="6" t="s">
        <v>68</v>
      </c>
      <c r="C53" s="6" t="s">
        <v>68</v>
      </c>
    </row>
    <row r="54" spans="2:3" x14ac:dyDescent="0.25">
      <c r="B54" s="6" t="s">
        <v>69</v>
      </c>
      <c r="C54" s="6" t="s">
        <v>69</v>
      </c>
    </row>
    <row r="55" spans="2:3" x14ac:dyDescent="0.25">
      <c r="B55" s="6" t="s">
        <v>70</v>
      </c>
      <c r="C55" s="6" t="s">
        <v>70</v>
      </c>
    </row>
    <row r="56" spans="2:3" x14ac:dyDescent="0.25">
      <c r="B56" s="6" t="s">
        <v>71</v>
      </c>
      <c r="C56" s="6" t="s">
        <v>71</v>
      </c>
    </row>
    <row r="57" spans="2:3" x14ac:dyDescent="0.25">
      <c r="B57" s="6" t="s">
        <v>72</v>
      </c>
      <c r="C57" s="6" t="s">
        <v>72</v>
      </c>
    </row>
    <row r="58" spans="2:3" x14ac:dyDescent="0.25">
      <c r="B58" s="6" t="s">
        <v>73</v>
      </c>
      <c r="C58" s="6" t="s">
        <v>73</v>
      </c>
    </row>
    <row r="59" spans="2:3" x14ac:dyDescent="0.25">
      <c r="B59" s="6" t="s">
        <v>74</v>
      </c>
    </row>
    <row r="60" spans="2:3" x14ac:dyDescent="0.25">
      <c r="B60" s="6" t="s">
        <v>75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5:E6"/>
  <sheetViews>
    <sheetView workbookViewId="0">
      <selection activeCell="E6" sqref="E6"/>
    </sheetView>
  </sheetViews>
  <sheetFormatPr defaultRowHeight="15" x14ac:dyDescent="0.25"/>
  <sheetData>
    <row r="5" spans="4:5" x14ac:dyDescent="0.25">
      <c r="D5" t="s">
        <v>116</v>
      </c>
      <c r="E5" t="s">
        <v>117</v>
      </c>
    </row>
    <row r="6" spans="4:5" x14ac:dyDescent="0.25">
      <c r="D6">
        <v>1241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TradingLog</vt:lpstr>
      <vt:lpstr>Calculations</vt:lpstr>
      <vt:lpstr>Reference</vt:lpstr>
      <vt:lpstr>TradeableFutures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Mathew Fok</dc:creator>
  <cp:lastModifiedBy>kuku</cp:lastModifiedBy>
  <dcterms:created xsi:type="dcterms:W3CDTF">2016-09-22T00:23:31Z</dcterms:created>
  <dcterms:modified xsi:type="dcterms:W3CDTF">2020-01-18T18:04:18Z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6c805463-f0fe-4a38-82d4-6e380f724b56</vt:lpwstr>
  </property>
</Properties>
</file>